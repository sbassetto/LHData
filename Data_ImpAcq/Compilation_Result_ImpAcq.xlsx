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ml.chartshapes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ml.chartshapes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ml.chartshapes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ml.chartshapes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ml.chartshapes+xml"/>
  <Override PartName="/xl/charts/chartEx2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3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/Dropbox (MAGI)/1-sabass/1-R-et-D/1_Contrats et Projets/2024/2024-ProjetimpuissanceApprise/Projet Recherche Maîtrise/Data_ImpAcq/"/>
    </mc:Choice>
  </mc:AlternateContent>
  <xr:revisionPtr revIDLastSave="0" documentId="13_ncr:1_{5DDF298D-76D7-B04B-BDBA-3F0E5D5401FE}" xr6:coauthVersionLast="46" xr6:coauthVersionMax="47" xr10:uidLastSave="{00000000-0000-0000-0000-000000000000}"/>
  <bookViews>
    <workbookView xWindow="7360" yWindow="-16500" windowWidth="37160" windowHeight="18320" xr2:uid="{C106DC78-866B-CB40-AA20-1A2ADD5DB1AF}"/>
  </bookViews>
  <sheets>
    <sheet name="brut-analyse" sheetId="1" r:id="rId1"/>
    <sheet name="brut" sheetId="3" r:id="rId2"/>
    <sheet name="Sub_11_run_5" sheetId="2" r:id="rId3"/>
  </sheets>
  <definedNames>
    <definedName name="_xlnm._FilterDatabase" localSheetId="0" hidden="1">'brut-analyse'!$AV$66:$AV$114</definedName>
    <definedName name="_xlchart.v1.0" hidden="1">'brut-analyse'!$AX$5:$BV$5</definedName>
    <definedName name="_xlchart.v1.1" hidden="1">'brut-analyse'!$AX$6:$BV$6</definedName>
    <definedName name="_xlchart.v1.2" hidden="1">'brut-analyse'!$AE$96:$AK$96</definedName>
    <definedName name="_xlchart.v1.3" hidden="1">'brut-analyse'!$AE$97:$AK$97</definedName>
    <definedName name="_xlchart.v1.4" hidden="1">'brut-analyse'!$AF$123:$AL$123</definedName>
    <definedName name="_xlchart.v1.5" hidden="1">'brut-analyse'!$AF$124:$AL$124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3" i="3" l="1"/>
  <c r="F31" i="3"/>
  <c r="F10" i="3"/>
  <c r="C329" i="3"/>
  <c r="D329" i="3" s="1"/>
  <c r="C327" i="3"/>
  <c r="D327" i="3" s="1"/>
  <c r="B327" i="3"/>
  <c r="B328" i="3" s="1"/>
  <c r="C325" i="3"/>
  <c r="D325" i="3" s="1"/>
  <c r="C324" i="3"/>
  <c r="D324" i="3" s="1"/>
  <c r="B324" i="3"/>
  <c r="B325" i="3" s="1"/>
  <c r="B326" i="3" s="1"/>
  <c r="D326" i="3" s="1"/>
  <c r="C323" i="3"/>
  <c r="D323" i="3" s="1"/>
  <c r="C322" i="3"/>
  <c r="D322" i="3" s="1"/>
  <c r="C321" i="3"/>
  <c r="D321" i="3" s="1"/>
  <c r="B321" i="3"/>
  <c r="B322" i="3" s="1"/>
  <c r="B323" i="3" s="1"/>
  <c r="C318" i="3"/>
  <c r="D318" i="3" s="1"/>
  <c r="B318" i="3"/>
  <c r="B319" i="3" s="1"/>
  <c r="C316" i="3"/>
  <c r="D316" i="3" s="1"/>
  <c r="C315" i="3"/>
  <c r="D315" i="3" s="1"/>
  <c r="B315" i="3"/>
  <c r="B316" i="3" s="1"/>
  <c r="B317" i="3" s="1"/>
  <c r="D317" i="3" s="1"/>
  <c r="D300" i="3"/>
  <c r="B299" i="3"/>
  <c r="B300" i="3" s="1"/>
  <c r="B301" i="3" s="1"/>
  <c r="D301" i="3" s="1"/>
  <c r="D298" i="3"/>
  <c r="C297" i="3"/>
  <c r="D297" i="3" s="1"/>
  <c r="B296" i="3"/>
  <c r="B297" i="3" s="1"/>
  <c r="B298" i="3" s="1"/>
  <c r="D293" i="3"/>
  <c r="B293" i="3"/>
  <c r="B294" i="3" s="1"/>
  <c r="B295" i="3" s="1"/>
  <c r="D295" i="3" s="1"/>
  <c r="C292" i="3"/>
  <c r="D292" i="3" s="1"/>
  <c r="D291" i="3"/>
  <c r="B290" i="3"/>
  <c r="B291" i="3" s="1"/>
  <c r="B292" i="3" s="1"/>
  <c r="B287" i="3"/>
  <c r="B288" i="3" s="1"/>
  <c r="B289" i="3" s="1"/>
  <c r="D289" i="3" s="1"/>
  <c r="C274" i="3"/>
  <c r="D274" i="3" s="1"/>
  <c r="B272" i="3"/>
  <c r="B273" i="3" s="1"/>
  <c r="B274" i="3" s="1"/>
  <c r="C270" i="3"/>
  <c r="D270" i="3" s="1"/>
  <c r="B269" i="3"/>
  <c r="D269" i="3" s="1"/>
  <c r="B266" i="3"/>
  <c r="B267" i="3" s="1"/>
  <c r="B263" i="3"/>
  <c r="B264" i="3" s="1"/>
  <c r="B260" i="3"/>
  <c r="B261" i="3" s="1"/>
  <c r="D261" i="3" s="1"/>
  <c r="B245" i="3"/>
  <c r="D245" i="3" s="1"/>
  <c r="C243" i="3"/>
  <c r="D243" i="3" s="1"/>
  <c r="B242" i="3"/>
  <c r="B243" i="3" s="1"/>
  <c r="B244" i="3" s="1"/>
  <c r="D244" i="3" s="1"/>
  <c r="B239" i="3"/>
  <c r="D239" i="3" s="1"/>
  <c r="B236" i="3"/>
  <c r="B237" i="3" s="1"/>
  <c r="B233" i="3"/>
  <c r="B234" i="3" s="1"/>
  <c r="B235" i="3" s="1"/>
  <c r="D235" i="3" s="1"/>
  <c r="C218" i="3"/>
  <c r="D217" i="3"/>
  <c r="C216" i="3"/>
  <c r="D216" i="3" s="1"/>
  <c r="B216" i="3"/>
  <c r="B217" i="3" s="1"/>
  <c r="B218" i="3" s="1"/>
  <c r="C215" i="3"/>
  <c r="D215" i="3" s="1"/>
  <c r="C214" i="3"/>
  <c r="D214" i="3" s="1"/>
  <c r="C213" i="3"/>
  <c r="D213" i="3" s="1"/>
  <c r="B213" i="3"/>
  <c r="B214" i="3" s="1"/>
  <c r="B215" i="3" s="1"/>
  <c r="C211" i="3"/>
  <c r="D211" i="3" s="1"/>
  <c r="C210" i="3"/>
  <c r="D210" i="3" s="1"/>
  <c r="B210" i="3"/>
  <c r="B211" i="3" s="1"/>
  <c r="B212" i="3" s="1"/>
  <c r="D212" i="3" s="1"/>
  <c r="C208" i="3"/>
  <c r="D208" i="3" s="1"/>
  <c r="C207" i="3"/>
  <c r="D207" i="3" s="1"/>
  <c r="B207" i="3"/>
  <c r="B208" i="3" s="1"/>
  <c r="B209" i="3" s="1"/>
  <c r="D209" i="3" s="1"/>
  <c r="C205" i="3"/>
  <c r="D205" i="3" s="1"/>
  <c r="B204" i="3"/>
  <c r="B205" i="3" s="1"/>
  <c r="B206" i="3" s="1"/>
  <c r="D206" i="3" s="1"/>
  <c r="C197" i="3"/>
  <c r="D197" i="3" s="1"/>
  <c r="D196" i="3"/>
  <c r="C195" i="3"/>
  <c r="D195" i="3" s="1"/>
  <c r="B195" i="3"/>
  <c r="B196" i="3" s="1"/>
  <c r="B197" i="3" s="1"/>
  <c r="C193" i="3"/>
  <c r="D193" i="3" s="1"/>
  <c r="C192" i="3"/>
  <c r="D192" i="3" s="1"/>
  <c r="B192" i="3"/>
  <c r="B193" i="3" s="1"/>
  <c r="B194" i="3" s="1"/>
  <c r="D194" i="3" s="1"/>
  <c r="D191" i="3"/>
  <c r="C190" i="3"/>
  <c r="D190" i="3" s="1"/>
  <c r="C189" i="3"/>
  <c r="D189" i="3" s="1"/>
  <c r="B189" i="3"/>
  <c r="B190" i="3" s="1"/>
  <c r="B191" i="3" s="1"/>
  <c r="C187" i="3"/>
  <c r="D187" i="3" s="1"/>
  <c r="C186" i="3"/>
  <c r="D186" i="3" s="1"/>
  <c r="B186" i="3"/>
  <c r="B187" i="3" s="1"/>
  <c r="B188" i="3" s="1"/>
  <c r="D188" i="3" s="1"/>
  <c r="C184" i="3"/>
  <c r="D184" i="3" s="1"/>
  <c r="B183" i="3"/>
  <c r="D183" i="3" s="1"/>
  <c r="B175" i="3"/>
  <c r="B176" i="3" s="1"/>
  <c r="B172" i="3"/>
  <c r="D172" i="3" s="1"/>
  <c r="B169" i="3"/>
  <c r="B170" i="3" s="1"/>
  <c r="D170" i="3" s="1"/>
  <c r="C167" i="3"/>
  <c r="D167" i="3" s="1"/>
  <c r="C166" i="3"/>
  <c r="D166" i="3" s="1"/>
  <c r="B166" i="3"/>
  <c r="B167" i="3" s="1"/>
  <c r="B168" i="3" s="1"/>
  <c r="D168" i="3" s="1"/>
  <c r="B163" i="3"/>
  <c r="D163" i="3" s="1"/>
  <c r="C154" i="3"/>
  <c r="D154" i="3" s="1"/>
  <c r="D153" i="3"/>
  <c r="C152" i="3"/>
  <c r="D152" i="3" s="1"/>
  <c r="B152" i="3"/>
  <c r="B153" i="3" s="1"/>
  <c r="B154" i="3" s="1"/>
  <c r="D151" i="3"/>
  <c r="C150" i="3"/>
  <c r="D150" i="3" s="1"/>
  <c r="C149" i="3"/>
  <c r="D149" i="3" s="1"/>
  <c r="B149" i="3"/>
  <c r="B150" i="3" s="1"/>
  <c r="B151" i="3" s="1"/>
  <c r="D148" i="3"/>
  <c r="C147" i="3"/>
  <c r="D147" i="3" s="1"/>
  <c r="C146" i="3"/>
  <c r="D146" i="3" s="1"/>
  <c r="B146" i="3"/>
  <c r="B147" i="3" s="1"/>
  <c r="B148" i="3" s="1"/>
  <c r="C144" i="3"/>
  <c r="D144" i="3" s="1"/>
  <c r="C143" i="3"/>
  <c r="D143" i="3" s="1"/>
  <c r="B143" i="3"/>
  <c r="B144" i="3" s="1"/>
  <c r="B145" i="3" s="1"/>
  <c r="D145" i="3" s="1"/>
  <c r="C142" i="3"/>
  <c r="D142" i="3" s="1"/>
  <c r="C141" i="3"/>
  <c r="D141" i="3" s="1"/>
  <c r="B140" i="3"/>
  <c r="D140" i="3" s="1"/>
  <c r="C132" i="3"/>
  <c r="C130" i="3"/>
  <c r="D130" i="3" s="1"/>
  <c r="B130" i="3"/>
  <c r="B131" i="3" s="1"/>
  <c r="C128" i="3"/>
  <c r="D128" i="3" s="1"/>
  <c r="C127" i="3"/>
  <c r="D127" i="3" s="1"/>
  <c r="B127" i="3"/>
  <c r="B128" i="3" s="1"/>
  <c r="B129" i="3" s="1"/>
  <c r="D129" i="3" s="1"/>
  <c r="C125" i="3"/>
  <c r="D125" i="3" s="1"/>
  <c r="C124" i="3"/>
  <c r="D124" i="3" s="1"/>
  <c r="B124" i="3"/>
  <c r="B125" i="3" s="1"/>
  <c r="B126" i="3" s="1"/>
  <c r="D126" i="3" s="1"/>
  <c r="B121" i="3"/>
  <c r="D121" i="3" s="1"/>
  <c r="C119" i="3"/>
  <c r="D119" i="3" s="1"/>
  <c r="B118" i="3"/>
  <c r="B119" i="3" s="1"/>
  <c r="B120" i="3" s="1"/>
  <c r="D120" i="3" s="1"/>
  <c r="B102" i="3"/>
  <c r="B103" i="3" s="1"/>
  <c r="B104" i="3" s="1"/>
  <c r="D104" i="3" s="1"/>
  <c r="C100" i="3"/>
  <c r="D100" i="3" s="1"/>
  <c r="D99" i="3"/>
  <c r="B99" i="3"/>
  <c r="B100" i="3" s="1"/>
  <c r="B101" i="3" s="1"/>
  <c r="D101" i="3" s="1"/>
  <c r="B96" i="3"/>
  <c r="B97" i="3" s="1"/>
  <c r="C95" i="3"/>
  <c r="D95" i="3" s="1"/>
  <c r="D94" i="3"/>
  <c r="B93" i="3"/>
  <c r="B94" i="3" s="1"/>
  <c r="B95" i="3" s="1"/>
  <c r="C90" i="3"/>
  <c r="D90" i="3" s="1"/>
  <c r="B90" i="3"/>
  <c r="B91" i="3" s="1"/>
  <c r="B79" i="3"/>
  <c r="D79" i="3" s="1"/>
  <c r="C77" i="3"/>
  <c r="D77" i="3" s="1"/>
  <c r="B76" i="3"/>
  <c r="B77" i="3" s="1"/>
  <c r="B78" i="3" s="1"/>
  <c r="D78" i="3" s="1"/>
  <c r="B73" i="3"/>
  <c r="B74" i="3" s="1"/>
  <c r="B70" i="3"/>
  <c r="D70" i="3" s="1"/>
  <c r="B67" i="3"/>
  <c r="B68" i="3" s="1"/>
  <c r="C58" i="3"/>
  <c r="D58" i="3" s="1"/>
  <c r="B57" i="3"/>
  <c r="D57" i="3" s="1"/>
  <c r="D56" i="3"/>
  <c r="C55" i="3"/>
  <c r="D55" i="3" s="1"/>
  <c r="B54" i="3"/>
  <c r="B55" i="3" s="1"/>
  <c r="B56" i="3" s="1"/>
  <c r="C52" i="3"/>
  <c r="D52" i="3" s="1"/>
  <c r="C51" i="3"/>
  <c r="D51" i="3" s="1"/>
  <c r="B51" i="3"/>
  <c r="B52" i="3" s="1"/>
  <c r="B53" i="3" s="1"/>
  <c r="D53" i="3" s="1"/>
  <c r="C49" i="3"/>
  <c r="D49" i="3" s="1"/>
  <c r="B48" i="3"/>
  <c r="D48" i="3" s="1"/>
  <c r="C45" i="3"/>
  <c r="D45" i="3" s="1"/>
  <c r="B45" i="3"/>
  <c r="B46" i="3" s="1"/>
  <c r="C37" i="3"/>
  <c r="D37" i="3" s="1"/>
  <c r="C36" i="3"/>
  <c r="D36" i="3" s="1"/>
  <c r="B36" i="3"/>
  <c r="B37" i="3" s="1"/>
  <c r="B38" i="3" s="1"/>
  <c r="D38" i="3" s="1"/>
  <c r="C34" i="3"/>
  <c r="D34" i="3" s="1"/>
  <c r="C33" i="3"/>
  <c r="D33" i="3" s="1"/>
  <c r="B33" i="3"/>
  <c r="B34" i="3" s="1"/>
  <c r="B35" i="3" s="1"/>
  <c r="D35" i="3" s="1"/>
  <c r="C31" i="3"/>
  <c r="D31" i="3" s="1"/>
  <c r="C30" i="3"/>
  <c r="D30" i="3" s="1"/>
  <c r="B30" i="3"/>
  <c r="B31" i="3" s="1"/>
  <c r="B32" i="3" s="1"/>
  <c r="D32" i="3" s="1"/>
  <c r="C28" i="3"/>
  <c r="D28" i="3" s="1"/>
  <c r="B27" i="3"/>
  <c r="B28" i="3" s="1"/>
  <c r="B29" i="3" s="1"/>
  <c r="D29" i="3" s="1"/>
  <c r="C25" i="3"/>
  <c r="D25" i="3" s="1"/>
  <c r="B25" i="3"/>
  <c r="B26" i="3" s="1"/>
  <c r="C24" i="3"/>
  <c r="D24" i="3" s="1"/>
  <c r="B24" i="3"/>
  <c r="C17" i="3"/>
  <c r="D17" i="3" s="1"/>
  <c r="B16" i="3"/>
  <c r="B17" i="3" s="1"/>
  <c r="D15" i="3"/>
  <c r="B13" i="3"/>
  <c r="B14" i="3" s="1"/>
  <c r="D14" i="3" s="1"/>
  <c r="D12" i="3"/>
  <c r="C11" i="3"/>
  <c r="D11" i="3" s="1"/>
  <c r="B10" i="3"/>
  <c r="B11" i="3" s="1"/>
  <c r="C9" i="3"/>
  <c r="D9" i="3" s="1"/>
  <c r="C7" i="3"/>
  <c r="D7" i="3" s="1"/>
  <c r="B7" i="3"/>
  <c r="B8" i="3" s="1"/>
  <c r="D8" i="3" s="1"/>
  <c r="D6" i="3"/>
  <c r="B5" i="3"/>
  <c r="D5" i="3" s="1"/>
  <c r="AV48" i="1"/>
  <c r="L9" i="1"/>
  <c r="L11" i="1"/>
  <c r="L13" i="1"/>
  <c r="L19" i="1"/>
  <c r="L338" i="1"/>
  <c r="L221" i="1"/>
  <c r="L135" i="1"/>
  <c r="L62" i="1"/>
  <c r="L41" i="1"/>
  <c r="L331" i="1"/>
  <c r="L328" i="1"/>
  <c r="L325" i="1"/>
  <c r="L322" i="1"/>
  <c r="L319" i="1"/>
  <c r="L332" i="1" s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77" i="1" s="1"/>
  <c r="L263" i="1"/>
  <c r="L262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50" i="1" s="1"/>
  <c r="L236" i="1"/>
  <c r="L235" i="1"/>
  <c r="L220" i="1"/>
  <c r="L214" i="1"/>
  <c r="L211" i="1"/>
  <c r="L208" i="1"/>
  <c r="L196" i="1"/>
  <c r="L190" i="1"/>
  <c r="L187" i="1"/>
  <c r="L200" i="1" s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80" i="1" s="1"/>
  <c r="L166" i="1"/>
  <c r="L165" i="1"/>
  <c r="L147" i="1"/>
  <c r="L157" i="1"/>
  <c r="L134" i="1"/>
  <c r="L131" i="1"/>
  <c r="L128" i="1"/>
  <c r="L125" i="1"/>
  <c r="L122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107" i="1" s="1"/>
  <c r="L93" i="1"/>
  <c r="L92" i="1"/>
  <c r="L83" i="1"/>
  <c r="L81" i="1"/>
  <c r="L80" i="1"/>
  <c r="L78" i="1"/>
  <c r="L77" i="1"/>
  <c r="L76" i="1"/>
  <c r="L75" i="1"/>
  <c r="L74" i="1"/>
  <c r="L73" i="1"/>
  <c r="L72" i="1"/>
  <c r="L71" i="1"/>
  <c r="L84" i="1" s="1"/>
  <c r="L70" i="1"/>
  <c r="L69" i="1"/>
  <c r="L61" i="1"/>
  <c r="L58" i="1"/>
  <c r="L55" i="1"/>
  <c r="L52" i="1"/>
  <c r="L49" i="1"/>
  <c r="H7" i="1"/>
  <c r="J7" i="1"/>
  <c r="L28" i="1"/>
  <c r="L31" i="1"/>
  <c r="L34" i="1"/>
  <c r="L37" i="1"/>
  <c r="L40" i="1"/>
  <c r="L8" i="1"/>
  <c r="L10" i="1"/>
  <c r="L12" i="1"/>
  <c r="L14" i="1"/>
  <c r="L15" i="1"/>
  <c r="L16" i="1"/>
  <c r="L17" i="1"/>
  <c r="L18" i="1"/>
  <c r="AF97" i="1"/>
  <c r="AF96" i="1"/>
  <c r="AE96" i="1"/>
  <c r="M55" i="1"/>
  <c r="M33" i="1"/>
  <c r="M12" i="1"/>
  <c r="CQ6" i="1"/>
  <c r="CQ5" i="1"/>
  <c r="CP6" i="1"/>
  <c r="CP5" i="1"/>
  <c r="S6" i="1"/>
  <c r="C89" i="1"/>
  <c r="C90" i="1" s="1"/>
  <c r="D90" i="1" s="1"/>
  <c r="H92" i="1"/>
  <c r="AF51" i="1"/>
  <c r="AE51" i="1"/>
  <c r="AL23" i="1"/>
  <c r="BV110" i="1"/>
  <c r="BT110" i="1"/>
  <c r="BX105" i="1"/>
  <c r="BV105" i="1"/>
  <c r="BT105" i="1"/>
  <c r="AE62" i="1"/>
  <c r="AE63" i="1" s="1"/>
  <c r="AE57" i="1"/>
  <c r="AG62" i="1"/>
  <c r="AG57" i="1"/>
  <c r="AK61" i="1"/>
  <c r="AD76" i="1"/>
  <c r="AE50" i="1"/>
  <c r="BW98" i="1"/>
  <c r="CB91" i="1"/>
  <c r="BW91" i="1"/>
  <c r="BW65" i="1"/>
  <c r="CB85" i="1"/>
  <c r="BW85" i="1"/>
  <c r="BW77" i="1"/>
  <c r="CB71" i="1"/>
  <c r="CB65" i="1"/>
  <c r="BW71" i="1"/>
  <c r="BY12" i="1"/>
  <c r="BY13" i="1"/>
  <c r="BY14" i="1"/>
  <c r="BY15" i="1"/>
  <c r="BY16" i="1"/>
  <c r="BY17" i="1"/>
  <c r="BY18" i="1"/>
  <c r="BX18" i="1"/>
  <c r="BX14" i="1"/>
  <c r="BX15" i="1"/>
  <c r="BX16" i="1"/>
  <c r="BX17" i="1"/>
  <c r="BX13" i="1"/>
  <c r="BX12" i="1"/>
  <c r="AV59" i="1" a="1"/>
  <c r="AV59" i="1" s="1"/>
  <c r="BE50" i="1"/>
  <c r="BE48" i="1"/>
  <c r="BE56" i="1"/>
  <c r="BE55" i="1"/>
  <c r="BF49" i="1"/>
  <c r="BE49" i="1"/>
  <c r="BF48" i="1"/>
  <c r="AV56" i="1"/>
  <c r="AV55" i="1"/>
  <c r="AV50" i="1"/>
  <c r="AW49" i="1"/>
  <c r="AV49" i="1"/>
  <c r="AW48" i="1"/>
  <c r="AK22" i="1"/>
  <c r="AL22" i="1"/>
  <c r="AJ22" i="1"/>
  <c r="AL25" i="1"/>
  <c r="AK25" i="1"/>
  <c r="AJ25" i="1"/>
  <c r="AJ30" i="1"/>
  <c r="AJ29" i="1"/>
  <c r="AL24" i="1"/>
  <c r="AK24" i="1"/>
  <c r="AK23" i="1"/>
  <c r="AJ24" i="1"/>
  <c r="AJ23" i="1"/>
  <c r="AE52" i="1"/>
  <c r="AF79" i="1"/>
  <c r="AF80" i="1"/>
  <c r="AF81" i="1"/>
  <c r="AF82" i="1"/>
  <c r="AF83" i="1"/>
  <c r="AF84" i="1"/>
  <c r="AF85" i="1"/>
  <c r="AE79" i="1"/>
  <c r="AE80" i="1"/>
  <c r="AE81" i="1"/>
  <c r="AE82" i="1"/>
  <c r="AE83" i="1"/>
  <c r="AE84" i="1"/>
  <c r="AE85" i="1"/>
  <c r="AF50" i="1"/>
  <c r="AB50" i="1"/>
  <c r="AB49" i="1"/>
  <c r="AC47" i="1"/>
  <c r="AC46" i="1"/>
  <c r="AC41" i="1"/>
  <c r="AC40" i="1"/>
  <c r="AC35" i="1"/>
  <c r="AC34" i="1"/>
  <c r="AC29" i="1"/>
  <c r="AC28" i="1"/>
  <c r="AC23" i="1"/>
  <c r="AC22" i="1"/>
  <c r="Z47" i="1"/>
  <c r="Z46" i="1"/>
  <c r="Z28" i="1"/>
  <c r="AA28" i="1"/>
  <c r="Z22" i="1"/>
  <c r="AA47" i="1"/>
  <c r="AA46" i="1"/>
  <c r="AA41" i="1"/>
  <c r="Z41" i="1"/>
  <c r="AA40" i="1"/>
  <c r="Z40" i="1"/>
  <c r="AA35" i="1"/>
  <c r="Z35" i="1"/>
  <c r="AA34" i="1"/>
  <c r="Z34" i="1"/>
  <c r="AA29" i="1"/>
  <c r="Z29" i="1"/>
  <c r="AA23" i="1"/>
  <c r="AA22" i="1"/>
  <c r="Z23" i="1"/>
  <c r="Z17" i="1"/>
  <c r="Z16" i="1"/>
  <c r="AA16" i="1"/>
  <c r="S3" i="1"/>
  <c r="S4" i="1" s="1"/>
  <c r="I97" i="1"/>
  <c r="I92" i="1"/>
  <c r="H104" i="1"/>
  <c r="D108" i="1" s="1"/>
  <c r="I102" i="1"/>
  <c r="J102" i="1" s="1"/>
  <c r="H101" i="1"/>
  <c r="J101" i="1" s="1"/>
  <c r="H98" i="1"/>
  <c r="H99" i="1" s="1"/>
  <c r="D98" i="1" s="1"/>
  <c r="H95" i="1"/>
  <c r="C93" i="1" s="1"/>
  <c r="H317" i="1"/>
  <c r="H318" i="1" s="1"/>
  <c r="H319" i="1" s="1"/>
  <c r="J319" i="1" s="1"/>
  <c r="I317" i="1"/>
  <c r="J317" i="1" s="1"/>
  <c r="I318" i="1"/>
  <c r="J318" i="1" s="1"/>
  <c r="H320" i="1"/>
  <c r="H321" i="1" s="1"/>
  <c r="I320" i="1"/>
  <c r="J320" i="1" s="1"/>
  <c r="H323" i="1"/>
  <c r="H324" i="1" s="1"/>
  <c r="H325" i="1" s="1"/>
  <c r="I323" i="1"/>
  <c r="J323" i="1" s="1"/>
  <c r="I324" i="1"/>
  <c r="J324" i="1" s="1"/>
  <c r="I325" i="1"/>
  <c r="J325" i="1" s="1"/>
  <c r="H326" i="1"/>
  <c r="H327" i="1" s="1"/>
  <c r="H328" i="1" s="1"/>
  <c r="J328" i="1" s="1"/>
  <c r="I326" i="1"/>
  <c r="J326" i="1" s="1"/>
  <c r="I327" i="1"/>
  <c r="J327" i="1" s="1"/>
  <c r="H329" i="1"/>
  <c r="H330" i="1" s="1"/>
  <c r="I329" i="1"/>
  <c r="J329" i="1" s="1"/>
  <c r="I331" i="1"/>
  <c r="J331" i="1" s="1"/>
  <c r="S7" i="1"/>
  <c r="I294" i="1"/>
  <c r="H289" i="1"/>
  <c r="D290" i="1" s="1"/>
  <c r="H301" i="1"/>
  <c r="H302" i="1" s="1"/>
  <c r="H303" i="1" s="1"/>
  <c r="I299" i="1"/>
  <c r="J299" i="1" s="1"/>
  <c r="H298" i="1"/>
  <c r="J298" i="1" s="1"/>
  <c r="H295" i="1"/>
  <c r="H292" i="1"/>
  <c r="D294" i="1" s="1"/>
  <c r="J17" i="1"/>
  <c r="J14" i="1"/>
  <c r="J8" i="1"/>
  <c r="J58" i="1"/>
  <c r="J155" i="1"/>
  <c r="J153" i="1"/>
  <c r="J150" i="1"/>
  <c r="J198" i="1"/>
  <c r="J193" i="1"/>
  <c r="J219" i="1"/>
  <c r="I276" i="1"/>
  <c r="J276" i="1" s="1"/>
  <c r="H274" i="1"/>
  <c r="H275" i="1" s="1"/>
  <c r="J275" i="1" s="1"/>
  <c r="I272" i="1"/>
  <c r="J272" i="1" s="1"/>
  <c r="H271" i="1"/>
  <c r="J271" i="1" s="1"/>
  <c r="H268" i="1"/>
  <c r="H269" i="1" s="1"/>
  <c r="J269" i="1" s="1"/>
  <c r="H265" i="1"/>
  <c r="D267" i="1" s="1"/>
  <c r="H262" i="1"/>
  <c r="D263" i="1" s="1"/>
  <c r="I220" i="1"/>
  <c r="I217" i="1"/>
  <c r="J217" i="1" s="1"/>
  <c r="I209" i="1"/>
  <c r="H209" i="1"/>
  <c r="H210" i="1" s="1"/>
  <c r="H211" i="1" s="1"/>
  <c r="J211" i="1" s="1"/>
  <c r="H206" i="1"/>
  <c r="C209" i="1" s="1"/>
  <c r="C210" i="1" s="1"/>
  <c r="C211" i="1" s="1"/>
  <c r="I218" i="1"/>
  <c r="J218" i="1" s="1"/>
  <c r="H218" i="1"/>
  <c r="H219" i="1" s="1"/>
  <c r="H220" i="1" s="1"/>
  <c r="I216" i="1"/>
  <c r="J216" i="1" s="1"/>
  <c r="I215" i="1"/>
  <c r="J215" i="1" s="1"/>
  <c r="H215" i="1"/>
  <c r="H216" i="1" s="1"/>
  <c r="H217" i="1" s="1"/>
  <c r="I213" i="1"/>
  <c r="J213" i="1" s="1"/>
  <c r="I212" i="1"/>
  <c r="J212" i="1" s="1"/>
  <c r="H212" i="1"/>
  <c r="H213" i="1" s="1"/>
  <c r="H214" i="1" s="1"/>
  <c r="J214" i="1" s="1"/>
  <c r="I210" i="1"/>
  <c r="J210" i="1" s="1"/>
  <c r="I207" i="1"/>
  <c r="J207" i="1" s="1"/>
  <c r="D190" i="1"/>
  <c r="H185" i="1"/>
  <c r="C190" i="1" s="1"/>
  <c r="Y7" i="1"/>
  <c r="Y9" i="1"/>
  <c r="Y10" i="1"/>
  <c r="Y8" i="1"/>
  <c r="S8" i="1"/>
  <c r="AA17" i="1" s="1"/>
  <c r="I245" i="1"/>
  <c r="J245" i="1" s="1"/>
  <c r="H247" i="1"/>
  <c r="D251" i="1" s="1"/>
  <c r="H244" i="1"/>
  <c r="D242" i="1" s="1"/>
  <c r="H241" i="1"/>
  <c r="D238" i="1" s="1"/>
  <c r="H238" i="1"/>
  <c r="H239" i="1" s="1"/>
  <c r="H240" i="1" s="1"/>
  <c r="J240" i="1" s="1"/>
  <c r="H235" i="1"/>
  <c r="H236" i="1" s="1"/>
  <c r="C237" i="1" s="1"/>
  <c r="I199" i="1"/>
  <c r="J199" i="1" s="1"/>
  <c r="I197" i="1"/>
  <c r="J197" i="1" s="1"/>
  <c r="H197" i="1"/>
  <c r="H198" i="1" s="1"/>
  <c r="H199" i="1" s="1"/>
  <c r="I195" i="1"/>
  <c r="J195" i="1" s="1"/>
  <c r="I194" i="1"/>
  <c r="J194" i="1" s="1"/>
  <c r="H194" i="1"/>
  <c r="H195" i="1" s="1"/>
  <c r="H196" i="1" s="1"/>
  <c r="D196" i="1" s="1"/>
  <c r="I192" i="1"/>
  <c r="J192" i="1" s="1"/>
  <c r="I191" i="1"/>
  <c r="J191" i="1" s="1"/>
  <c r="H191" i="1"/>
  <c r="H192" i="1" s="1"/>
  <c r="H193" i="1" s="1"/>
  <c r="I189" i="1"/>
  <c r="J189" i="1" s="1"/>
  <c r="I188" i="1"/>
  <c r="J188" i="1" s="1"/>
  <c r="H188" i="1"/>
  <c r="H189" i="1" s="1"/>
  <c r="H190" i="1" s="1"/>
  <c r="J190" i="1" s="1"/>
  <c r="I186" i="1"/>
  <c r="J186" i="1" s="1"/>
  <c r="I169" i="1"/>
  <c r="J169" i="1" s="1"/>
  <c r="I168" i="1"/>
  <c r="J168" i="1" s="1"/>
  <c r="H177" i="1"/>
  <c r="J177" i="1" s="1"/>
  <c r="H174" i="1"/>
  <c r="J174" i="1" s="1"/>
  <c r="H171" i="1"/>
  <c r="H172" i="1" s="1"/>
  <c r="C173" i="1" s="1"/>
  <c r="H168" i="1"/>
  <c r="H169" i="1" s="1"/>
  <c r="H165" i="1"/>
  <c r="H166" i="1" s="1"/>
  <c r="C167" i="1" s="1"/>
  <c r="I146" i="1"/>
  <c r="J146" i="1" s="1"/>
  <c r="I145" i="1"/>
  <c r="J145" i="1" s="1"/>
  <c r="I144" i="1"/>
  <c r="J144" i="1" s="1"/>
  <c r="I156" i="1"/>
  <c r="J156" i="1" s="1"/>
  <c r="I154" i="1"/>
  <c r="J154" i="1" s="1"/>
  <c r="H154" i="1"/>
  <c r="H155" i="1" s="1"/>
  <c r="H156" i="1" s="1"/>
  <c r="I152" i="1"/>
  <c r="J152" i="1" s="1"/>
  <c r="I151" i="1"/>
  <c r="J151" i="1" s="1"/>
  <c r="H151" i="1"/>
  <c r="H152" i="1" s="1"/>
  <c r="H153" i="1" s="1"/>
  <c r="C158" i="1" s="1"/>
  <c r="I149" i="1"/>
  <c r="J149" i="1" s="1"/>
  <c r="I148" i="1"/>
  <c r="J148" i="1" s="1"/>
  <c r="H148" i="1"/>
  <c r="H149" i="1" s="1"/>
  <c r="H150" i="1" s="1"/>
  <c r="H145" i="1"/>
  <c r="H146" i="1" s="1"/>
  <c r="H147" i="1" s="1"/>
  <c r="J147" i="1" s="1"/>
  <c r="I143" i="1"/>
  <c r="J143" i="1" s="1"/>
  <c r="H142" i="1"/>
  <c r="H143" i="1" s="1"/>
  <c r="H144" i="1" s="1"/>
  <c r="C154" i="1" s="1"/>
  <c r="H120" i="1"/>
  <c r="H121" i="1" s="1"/>
  <c r="H122" i="1" s="1"/>
  <c r="D120" i="1" s="1"/>
  <c r="I134" i="1"/>
  <c r="I132" i="1"/>
  <c r="J132" i="1" s="1"/>
  <c r="I129" i="1"/>
  <c r="J129" i="1" s="1"/>
  <c r="I121" i="1"/>
  <c r="J121" i="1" s="1"/>
  <c r="H132" i="1"/>
  <c r="H133" i="1" s="1"/>
  <c r="H134" i="1" s="1"/>
  <c r="I130" i="1"/>
  <c r="J130" i="1" s="1"/>
  <c r="H129" i="1"/>
  <c r="H130" i="1" s="1"/>
  <c r="H131" i="1" s="1"/>
  <c r="J131" i="1" s="1"/>
  <c r="I127" i="1"/>
  <c r="J127" i="1" s="1"/>
  <c r="I126" i="1"/>
  <c r="J126" i="1" s="1"/>
  <c r="H126" i="1"/>
  <c r="H127" i="1" s="1"/>
  <c r="H128" i="1" s="1"/>
  <c r="J128" i="1" s="1"/>
  <c r="H123" i="1"/>
  <c r="H124" i="1" s="1"/>
  <c r="H125" i="1" s="1"/>
  <c r="J125" i="1" s="1"/>
  <c r="I79" i="1"/>
  <c r="J79" i="1" s="1"/>
  <c r="H69" i="1"/>
  <c r="D66" i="1" s="1"/>
  <c r="H81" i="1"/>
  <c r="H82" i="1" s="1"/>
  <c r="H78" i="1"/>
  <c r="H79" i="1" s="1"/>
  <c r="H75" i="1"/>
  <c r="H76" i="1" s="1"/>
  <c r="C75" i="1" s="1"/>
  <c r="H72" i="1"/>
  <c r="H73" i="1" s="1"/>
  <c r="H74" i="1" s="1"/>
  <c r="D72" i="1" s="1"/>
  <c r="H47" i="1"/>
  <c r="H48" i="1" s="1"/>
  <c r="H49" i="1" s="1"/>
  <c r="C47" i="1" s="1"/>
  <c r="I60" i="1"/>
  <c r="J60" i="1" s="1"/>
  <c r="H59" i="1"/>
  <c r="H60" i="1" s="1"/>
  <c r="H61" i="1" s="1"/>
  <c r="J61" i="1" s="1"/>
  <c r="I57" i="1"/>
  <c r="J57" i="1" s="1"/>
  <c r="H56" i="1"/>
  <c r="H57" i="1" s="1"/>
  <c r="H58" i="1" s="1"/>
  <c r="I54" i="1"/>
  <c r="J54" i="1" s="1"/>
  <c r="I53" i="1"/>
  <c r="J53" i="1" s="1"/>
  <c r="H53" i="1"/>
  <c r="H54" i="1" s="1"/>
  <c r="H55" i="1" s="1"/>
  <c r="J55" i="1" s="1"/>
  <c r="I51" i="1"/>
  <c r="J51" i="1" s="1"/>
  <c r="H50" i="1"/>
  <c r="H51" i="1" s="1"/>
  <c r="H52" i="1" s="1"/>
  <c r="J52" i="1" s="1"/>
  <c r="I47" i="1"/>
  <c r="J47" i="1" s="1"/>
  <c r="I39" i="1"/>
  <c r="J39" i="1" s="1"/>
  <c r="I38" i="1"/>
  <c r="J38" i="1" s="1"/>
  <c r="I36" i="1"/>
  <c r="J36" i="1" s="1"/>
  <c r="I35" i="1"/>
  <c r="J35" i="1" s="1"/>
  <c r="I33" i="1"/>
  <c r="J33" i="1" s="1"/>
  <c r="I27" i="1"/>
  <c r="J27" i="1" s="1"/>
  <c r="I26" i="1"/>
  <c r="J26" i="1" s="1"/>
  <c r="H38" i="1"/>
  <c r="H39" i="1" s="1"/>
  <c r="H35" i="1"/>
  <c r="H36" i="1" s="1"/>
  <c r="H32" i="1"/>
  <c r="H33" i="1" s="1"/>
  <c r="H34" i="1" s="1"/>
  <c r="J34" i="1" s="1"/>
  <c r="H29" i="1"/>
  <c r="H30" i="1" s="1"/>
  <c r="H31" i="1" s="1"/>
  <c r="J31" i="1" s="1"/>
  <c r="H26" i="1"/>
  <c r="H27" i="1" s="1"/>
  <c r="H28" i="1" s="1"/>
  <c r="I32" i="1"/>
  <c r="J32" i="1" s="1"/>
  <c r="I30" i="1"/>
  <c r="J30" i="1" s="1"/>
  <c r="C20" i="1"/>
  <c r="C16" i="1"/>
  <c r="C11" i="1"/>
  <c r="I19" i="1"/>
  <c r="J19" i="1" s="1"/>
  <c r="I13" i="1"/>
  <c r="J13" i="1" s="1"/>
  <c r="I11" i="1"/>
  <c r="J11" i="1" s="1"/>
  <c r="I9" i="1"/>
  <c r="J9" i="1" s="1"/>
  <c r="C7" i="1"/>
  <c r="D20" i="1"/>
  <c r="D16" i="1"/>
  <c r="D11" i="1"/>
  <c r="D7" i="1"/>
  <c r="H9" i="1"/>
  <c r="H10" i="1" s="1"/>
  <c r="J10" i="1" s="1"/>
  <c r="H18" i="1"/>
  <c r="D21" i="1" s="1"/>
  <c r="H15" i="1"/>
  <c r="H16" i="1" s="1"/>
  <c r="D18" i="1" s="1"/>
  <c r="H12" i="1"/>
  <c r="J12" i="1" s="1"/>
  <c r="D8" i="1"/>
  <c r="D263" i="3" l="1"/>
  <c r="B80" i="3"/>
  <c r="B81" i="3" s="1"/>
  <c r="D81" i="3" s="1"/>
  <c r="D175" i="3"/>
  <c r="D76" i="3"/>
  <c r="B71" i="3"/>
  <c r="B72" i="3" s="1"/>
  <c r="D72" i="3" s="1"/>
  <c r="D290" i="3"/>
  <c r="D54" i="3"/>
  <c r="B173" i="3"/>
  <c r="D173" i="3" s="1"/>
  <c r="D233" i="3"/>
  <c r="D260" i="3"/>
  <c r="D272" i="3"/>
  <c r="D287" i="3"/>
  <c r="B92" i="3"/>
  <c r="D92" i="3" s="1"/>
  <c r="D91" i="3"/>
  <c r="B265" i="3"/>
  <c r="D265" i="3" s="1"/>
  <c r="D264" i="3"/>
  <c r="D102" i="3"/>
  <c r="B122" i="3"/>
  <c r="B123" i="3" s="1"/>
  <c r="D123" i="3" s="1"/>
  <c r="B240" i="3"/>
  <c r="B241" i="3" s="1"/>
  <c r="D241" i="3" s="1"/>
  <c r="D118" i="3"/>
  <c r="B58" i="3"/>
  <c r="B59" i="3" s="1"/>
  <c r="D59" i="3" s="1"/>
  <c r="D169" i="3"/>
  <c r="D204" i="3"/>
  <c r="D93" i="3"/>
  <c r="B69" i="3"/>
  <c r="D69" i="3" s="1"/>
  <c r="D68" i="3"/>
  <c r="B320" i="3"/>
  <c r="D320" i="3" s="1"/>
  <c r="D319" i="3"/>
  <c r="D267" i="3"/>
  <c r="B268" i="3"/>
  <c r="D268" i="3" s="1"/>
  <c r="D46" i="3"/>
  <c r="B47" i="3"/>
  <c r="D47" i="3" s="1"/>
  <c r="B238" i="3"/>
  <c r="D238" i="3" s="1"/>
  <c r="D237" i="3"/>
  <c r="D74" i="3"/>
  <c r="B75" i="3"/>
  <c r="D75" i="3" s="1"/>
  <c r="D131" i="3"/>
  <c r="B132" i="3"/>
  <c r="D176" i="3"/>
  <c r="B177" i="3"/>
  <c r="D177" i="3" s="1"/>
  <c r="B329" i="3"/>
  <c r="D328" i="3"/>
  <c r="D97" i="3"/>
  <c r="B98" i="3"/>
  <c r="D98" i="3" s="1"/>
  <c r="D218" i="3"/>
  <c r="D16" i="3"/>
  <c r="D67" i="3"/>
  <c r="D122" i="3"/>
  <c r="D236" i="3"/>
  <c r="D240" i="3"/>
  <c r="D294" i="3"/>
  <c r="D288" i="3"/>
  <c r="D13" i="3"/>
  <c r="D103" i="3"/>
  <c r="B49" i="3"/>
  <c r="B50" i="3" s="1"/>
  <c r="D50" i="3" s="1"/>
  <c r="D73" i="3"/>
  <c r="D96" i="3"/>
  <c r="B141" i="3"/>
  <c r="B142" i="3" s="1"/>
  <c r="B164" i="3"/>
  <c r="B171" i="3"/>
  <c r="D171" i="3" s="1"/>
  <c r="B184" i="3"/>
  <c r="B185" i="3" s="1"/>
  <c r="D185" i="3" s="1"/>
  <c r="D234" i="3"/>
  <c r="D242" i="3"/>
  <c r="B246" i="3"/>
  <c r="B262" i="3"/>
  <c r="D262" i="3" s="1"/>
  <c r="B270" i="3"/>
  <c r="B271" i="3" s="1"/>
  <c r="D271" i="3" s="1"/>
  <c r="D273" i="3"/>
  <c r="D296" i="3"/>
  <c r="D266" i="3"/>
  <c r="D10" i="3"/>
  <c r="D18" i="3" s="1"/>
  <c r="D27" i="3"/>
  <c r="L20" i="1"/>
  <c r="L337" i="1"/>
  <c r="L304" i="1"/>
  <c r="D227" i="1"/>
  <c r="D215" i="1"/>
  <c r="D219" i="1"/>
  <c r="D93" i="1"/>
  <c r="D275" i="1"/>
  <c r="BU70" i="1"/>
  <c r="BU72" i="1" s="1"/>
  <c r="BU73" i="1" s="1"/>
  <c r="AF57" i="1"/>
  <c r="D97" i="1"/>
  <c r="D279" i="1"/>
  <c r="C91" i="1"/>
  <c r="D91" i="1" s="1"/>
  <c r="D280" i="1"/>
  <c r="C263" i="1"/>
  <c r="C264" i="1" s="1"/>
  <c r="C265" i="1" s="1"/>
  <c r="C290" i="1"/>
  <c r="C291" i="1" s="1"/>
  <c r="C292" i="1" s="1"/>
  <c r="D271" i="1"/>
  <c r="D272" i="1"/>
  <c r="BU97" i="1"/>
  <c r="BU99" i="1" s="1"/>
  <c r="BU100" i="1" s="1"/>
  <c r="BZ64" i="1"/>
  <c r="BZ66" i="1" s="1"/>
  <c r="BZ67" i="1" s="1"/>
  <c r="BU76" i="1"/>
  <c r="BU78" i="1" s="1"/>
  <c r="BU79" i="1" s="1"/>
  <c r="AF62" i="1"/>
  <c r="AF63" i="1" s="1"/>
  <c r="AG63" i="1" s="1"/>
  <c r="AE66" i="1"/>
  <c r="AK68" i="1"/>
  <c r="AE58" i="1"/>
  <c r="BU84" i="1"/>
  <c r="BU86" i="1" s="1"/>
  <c r="BU87" i="1" s="1"/>
  <c r="BU90" i="1"/>
  <c r="BU92" i="1" s="1"/>
  <c r="BU93" i="1" s="1"/>
  <c r="BZ90" i="1"/>
  <c r="BZ92" i="1" s="1"/>
  <c r="BZ93" i="1" s="1"/>
  <c r="BZ70" i="1"/>
  <c r="BZ72" i="1" s="1"/>
  <c r="BZ73" i="1" s="1"/>
  <c r="BZ84" i="1"/>
  <c r="BZ86" i="1" s="1"/>
  <c r="BZ87" i="1" s="1"/>
  <c r="BU64" i="1"/>
  <c r="AF87" i="1"/>
  <c r="AE87" i="1"/>
  <c r="AI86" i="1"/>
  <c r="AE86" i="1"/>
  <c r="AF86" i="1"/>
  <c r="H186" i="1"/>
  <c r="H187" i="1" s="1"/>
  <c r="C192" i="1" s="1"/>
  <c r="J247" i="1"/>
  <c r="J56" i="1"/>
  <c r="J69" i="1"/>
  <c r="H102" i="1"/>
  <c r="H103" i="1" s="1"/>
  <c r="J104" i="1"/>
  <c r="H105" i="1"/>
  <c r="H93" i="1"/>
  <c r="J93" i="1" s="1"/>
  <c r="J99" i="1"/>
  <c r="H100" i="1"/>
  <c r="D99" i="1" s="1"/>
  <c r="H96" i="1"/>
  <c r="C94" i="1" s="1"/>
  <c r="J92" i="1"/>
  <c r="J95" i="1"/>
  <c r="J98" i="1"/>
  <c r="J274" i="1"/>
  <c r="J133" i="1"/>
  <c r="H322" i="1"/>
  <c r="J322" i="1" s="1"/>
  <c r="J321" i="1"/>
  <c r="H331" i="1"/>
  <c r="J330" i="1"/>
  <c r="J241" i="1"/>
  <c r="J196" i="1"/>
  <c r="J209" i="1"/>
  <c r="J75" i="1"/>
  <c r="J120" i="1"/>
  <c r="J76" i="1"/>
  <c r="J15" i="1"/>
  <c r="J220" i="1"/>
  <c r="J78" i="1"/>
  <c r="J29" i="1"/>
  <c r="J16" i="1"/>
  <c r="J48" i="1"/>
  <c r="J239" i="1"/>
  <c r="J124" i="1"/>
  <c r="J74" i="1"/>
  <c r="J265" i="1"/>
  <c r="J235" i="1"/>
  <c r="J49" i="1"/>
  <c r="J206" i="1"/>
  <c r="J236" i="1"/>
  <c r="J244" i="1"/>
  <c r="J172" i="1"/>
  <c r="J142" i="1"/>
  <c r="J50" i="1"/>
  <c r="J18" i="1"/>
  <c r="J171" i="1"/>
  <c r="J268" i="1"/>
  <c r="J165" i="1"/>
  <c r="J122" i="1"/>
  <c r="J72" i="1"/>
  <c r="J59" i="1"/>
  <c r="J238" i="1"/>
  <c r="J185" i="1"/>
  <c r="J166" i="1"/>
  <c r="J123" i="1"/>
  <c r="J73" i="1"/>
  <c r="J81" i="1"/>
  <c r="H299" i="1"/>
  <c r="H300" i="1" s="1"/>
  <c r="H293" i="1"/>
  <c r="H290" i="1"/>
  <c r="J300" i="1"/>
  <c r="J295" i="1"/>
  <c r="J292" i="1"/>
  <c r="J303" i="1"/>
  <c r="J289" i="1"/>
  <c r="J293" i="1"/>
  <c r="J302" i="1"/>
  <c r="H296" i="1"/>
  <c r="D299" i="1" s="1"/>
  <c r="J262" i="1"/>
  <c r="H266" i="1"/>
  <c r="D268" i="1" s="1"/>
  <c r="H263" i="1"/>
  <c r="H270" i="1"/>
  <c r="H276" i="1"/>
  <c r="H272" i="1"/>
  <c r="H273" i="1" s="1"/>
  <c r="D118" i="1"/>
  <c r="H207" i="1"/>
  <c r="S10" i="1"/>
  <c r="S11" i="1"/>
  <c r="X4" i="1"/>
  <c r="C126" i="1"/>
  <c r="AB4" i="1"/>
  <c r="D126" i="1"/>
  <c r="D47" i="1"/>
  <c r="D176" i="1"/>
  <c r="C45" i="1"/>
  <c r="C176" i="1"/>
  <c r="C46" i="1"/>
  <c r="C242" i="1"/>
  <c r="C118" i="1"/>
  <c r="C119" i="1"/>
  <c r="C144" i="1"/>
  <c r="C156" i="1"/>
  <c r="C244" i="1"/>
  <c r="C28" i="1"/>
  <c r="C248" i="1"/>
  <c r="C120" i="1"/>
  <c r="D30" i="1"/>
  <c r="D248" i="1"/>
  <c r="D28" i="1"/>
  <c r="C49" i="1"/>
  <c r="D156" i="1"/>
  <c r="C251" i="1"/>
  <c r="D124" i="1"/>
  <c r="C51" i="1"/>
  <c r="D178" i="1"/>
  <c r="C241" i="1"/>
  <c r="D122" i="1"/>
  <c r="C236" i="1"/>
  <c r="D194" i="1"/>
  <c r="D166" i="1"/>
  <c r="C81" i="1"/>
  <c r="D244" i="1"/>
  <c r="C194" i="1"/>
  <c r="D49" i="1"/>
  <c r="C30" i="1"/>
  <c r="D75" i="1"/>
  <c r="D180" i="1"/>
  <c r="C53" i="1"/>
  <c r="D53" i="1"/>
  <c r="D236" i="1"/>
  <c r="C180" i="1"/>
  <c r="C196" i="1"/>
  <c r="C122" i="1"/>
  <c r="D51" i="1"/>
  <c r="D74" i="1"/>
  <c r="D237" i="1"/>
  <c r="C240" i="1"/>
  <c r="C124" i="1"/>
  <c r="D172" i="1"/>
  <c r="D173" i="1"/>
  <c r="D170" i="1"/>
  <c r="D168" i="1"/>
  <c r="C166" i="1"/>
  <c r="D81" i="1"/>
  <c r="C172" i="1"/>
  <c r="H70" i="1"/>
  <c r="C66" i="1"/>
  <c r="C70" i="1"/>
  <c r="C72" i="1"/>
  <c r="C71" i="1"/>
  <c r="D71" i="1"/>
  <c r="C78" i="1"/>
  <c r="D70" i="1"/>
  <c r="C74" i="1"/>
  <c r="D78" i="1"/>
  <c r="H242" i="1"/>
  <c r="H237" i="1"/>
  <c r="H248" i="1"/>
  <c r="H245" i="1"/>
  <c r="H178" i="1"/>
  <c r="J178" i="1" s="1"/>
  <c r="H167" i="1"/>
  <c r="H173" i="1"/>
  <c r="J173" i="1" s="1"/>
  <c r="H170" i="1"/>
  <c r="J170" i="1" s="1"/>
  <c r="H175" i="1"/>
  <c r="H77" i="1"/>
  <c r="H80" i="1"/>
  <c r="J80" i="1" s="1"/>
  <c r="H83" i="1"/>
  <c r="J83" i="1" s="1"/>
  <c r="C8" i="1"/>
  <c r="C12" i="1"/>
  <c r="H37" i="1"/>
  <c r="J37" i="1" s="1"/>
  <c r="C14" i="1"/>
  <c r="H40" i="1"/>
  <c r="J40" i="1" s="1"/>
  <c r="C18" i="1"/>
  <c r="C17" i="1"/>
  <c r="C21" i="1"/>
  <c r="D14" i="1"/>
  <c r="D12" i="1"/>
  <c r="H19" i="1"/>
  <c r="D17" i="1"/>
  <c r="H13" i="1"/>
  <c r="B174" i="3" l="1"/>
  <c r="D174" i="3" s="1"/>
  <c r="D71" i="3"/>
  <c r="B165" i="3"/>
  <c r="D165" i="3" s="1"/>
  <c r="D164" i="3"/>
  <c r="B247" i="3"/>
  <c r="D247" i="3" s="1"/>
  <c r="D246" i="3"/>
  <c r="J273" i="1"/>
  <c r="D277" i="1"/>
  <c r="J270" i="1"/>
  <c r="D273" i="1"/>
  <c r="J103" i="1"/>
  <c r="D104" i="1"/>
  <c r="J263" i="1"/>
  <c r="D264" i="1"/>
  <c r="H106" i="1"/>
  <c r="D109" i="1"/>
  <c r="J290" i="1"/>
  <c r="D291" i="1"/>
  <c r="BU66" i="1"/>
  <c r="BU67" i="1" s="1"/>
  <c r="C191" i="1"/>
  <c r="J187" i="1"/>
  <c r="D192" i="1"/>
  <c r="J105" i="1"/>
  <c r="H94" i="1"/>
  <c r="J94" i="1" s="1"/>
  <c r="H97" i="1"/>
  <c r="C95" i="1" s="1"/>
  <c r="J96" i="1"/>
  <c r="J100" i="1"/>
  <c r="J248" i="1"/>
  <c r="C9" i="1"/>
  <c r="J20" i="1"/>
  <c r="H267" i="1"/>
  <c r="D269" i="1" s="1"/>
  <c r="J266" i="1"/>
  <c r="C177" i="1"/>
  <c r="J175" i="1"/>
  <c r="C238" i="1"/>
  <c r="J237" i="1"/>
  <c r="J242" i="1"/>
  <c r="H294" i="1"/>
  <c r="D76" i="1"/>
  <c r="AA8" i="1" s="1"/>
  <c r="J77" i="1"/>
  <c r="C67" i="1"/>
  <c r="J70" i="1"/>
  <c r="C168" i="1"/>
  <c r="J167" i="1"/>
  <c r="H291" i="1"/>
  <c r="D292" i="1" s="1"/>
  <c r="J294" i="1"/>
  <c r="J296" i="1"/>
  <c r="H297" i="1"/>
  <c r="D300" i="1" s="1"/>
  <c r="H264" i="1"/>
  <c r="H208" i="1"/>
  <c r="W7" i="1"/>
  <c r="W10" i="1"/>
  <c r="S12" i="1"/>
  <c r="AA7" i="1"/>
  <c r="Z7" i="1"/>
  <c r="V10" i="1"/>
  <c r="Z8" i="1"/>
  <c r="C181" i="1"/>
  <c r="D181" i="1"/>
  <c r="C34" i="1"/>
  <c r="D34" i="1"/>
  <c r="Z10" i="1" s="1"/>
  <c r="C32" i="1"/>
  <c r="D32" i="1"/>
  <c r="D245" i="1"/>
  <c r="C245" i="1"/>
  <c r="C252" i="1"/>
  <c r="D252" i="1"/>
  <c r="H71" i="1"/>
  <c r="D68" i="1" s="1"/>
  <c r="V7" i="1" s="1"/>
  <c r="C170" i="1"/>
  <c r="D167" i="1"/>
  <c r="D174" i="1"/>
  <c r="C174" i="1"/>
  <c r="H179" i="1"/>
  <c r="J179" i="1" s="1"/>
  <c r="D82" i="1"/>
  <c r="C82" i="1"/>
  <c r="D79" i="1"/>
  <c r="D240" i="1"/>
  <c r="D67" i="1"/>
  <c r="H249" i="1"/>
  <c r="H246" i="1"/>
  <c r="J246" i="1" s="1"/>
  <c r="C79" i="1"/>
  <c r="C76" i="1"/>
  <c r="H176" i="1"/>
  <c r="J176" i="1" s="1"/>
  <c r="H243" i="1"/>
  <c r="D9" i="1"/>
  <c r="J208" i="1" l="1"/>
  <c r="D211" i="1"/>
  <c r="J264" i="1"/>
  <c r="D265" i="1"/>
  <c r="J106" i="1"/>
  <c r="D110" i="1"/>
  <c r="J97" i="1"/>
  <c r="J71" i="1"/>
  <c r="J267" i="1"/>
  <c r="J243" i="1"/>
  <c r="J249" i="1"/>
  <c r="J291" i="1"/>
  <c r="J297" i="1"/>
  <c r="AA9" i="1"/>
  <c r="Z9" i="1"/>
  <c r="C68" i="1"/>
  <c r="D249" i="1"/>
  <c r="C249" i="1"/>
  <c r="C253" i="1"/>
  <c r="D253" i="1"/>
  <c r="D182" i="1"/>
  <c r="C182" i="1"/>
  <c r="D246" i="1"/>
  <c r="C246" i="1"/>
  <c r="C178" i="1"/>
  <c r="D177" i="1"/>
  <c r="D241" i="1"/>
  <c r="V8" i="1" l="1"/>
  <c r="W8" i="1"/>
  <c r="V9" i="1"/>
  <c r="W9" i="1"/>
  <c r="AF66" i="1" l="1"/>
  <c r="AG66" i="1" s="1"/>
  <c r="AF58" i="1"/>
  <c r="AE67" i="1" l="1"/>
  <c r="AF67" i="1"/>
  <c r="AG58" i="1"/>
  <c r="AF59" i="1" l="1"/>
  <c r="AF60" i="1" s="1"/>
  <c r="AK57" i="1" s="1"/>
  <c r="AF64" i="1"/>
  <c r="AF65" i="1" s="1"/>
  <c r="AK58" i="1" s="1"/>
  <c r="AE64" i="1"/>
  <c r="AE59" i="1"/>
  <c r="AE60" i="1" l="1"/>
  <c r="AE65" i="1"/>
  <c r="AJ58" i="1" s="1"/>
  <c r="AL58" i="1" s="1"/>
  <c r="AK59" i="1"/>
  <c r="AJ57" i="1" l="1"/>
  <c r="AL57" i="1" s="1"/>
  <c r="AD75" i="1"/>
  <c r="AI87" i="1"/>
  <c r="AJ59" i="1" l="1"/>
  <c r="AL59" i="1"/>
  <c r="A221" i="1"/>
  <c r="A22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tc={1EF4F63A-2498-2444-812D-0C4B58037158}</author>
  </authors>
  <commentList>
    <comment ref="F123" authorId="0" shapeId="0" xr:uid="{1EF4F63A-2498-2444-812D-0C4B58037158}">
      <text>
        <t xml:space="preserve">[Commentaire lié à un fil de discussion]
Votre version d’Excel vous permet de lire ce commentaire lié à un fil de discussion. Toutefois, les modifications qui y sont apportées seront supprimées si le fichier est ouvert dans une version plus récente d’Excel. En savoir plus : https://go.microsoft.com/fwlink/?linkid=870924
Commentaire :
    On pourrait dire que GERME « fait croire » à un contrôle et protège ainsi contre l’LH. Mais après on voit que cela se dégrade. 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<sst xmlns="http://schemas.openxmlformats.org/spreadsheetml/2006/main" count="1259" uniqueCount="234">
  <si>
    <t>First TR on each run (Computer time)</t>
  </si>
  <si>
    <t>TR = 2890ms</t>
  </si>
  <si>
    <t>Solving anagram event files :</t>
  </si>
  <si>
    <t>Time with first volume (of each run) origin</t>
  </si>
  <si>
    <t>test</t>
  </si>
  <si>
    <t>Time computer first stop</t>
  </si>
  <si>
    <t>Answer :</t>
  </si>
  <si>
    <t>TRUE</t>
  </si>
  <si>
    <t>FALSE</t>
  </si>
  <si>
    <t>Answer true but no press</t>
  </si>
  <si>
    <t>Answer true but MERGE (GERME), pas de réponse attendue</t>
  </si>
  <si>
    <t>POIGNE</t>
  </si>
  <si>
    <t>DORMIR</t>
  </si>
  <si>
    <t>GARE</t>
  </si>
  <si>
    <t>GERME</t>
  </si>
  <si>
    <t>ECLAIRER</t>
  </si>
  <si>
    <t>BEAU</t>
  </si>
  <si>
    <t>EMPRUNTE</t>
  </si>
  <si>
    <t>IMAGINER</t>
  </si>
  <si>
    <t>RECENT</t>
  </si>
  <si>
    <t>MENTON</t>
  </si>
  <si>
    <t>SAGESSE</t>
  </si>
  <si>
    <t>MARCHE</t>
  </si>
  <si>
    <t>DECIBEL</t>
  </si>
  <si>
    <t>VANITE</t>
  </si>
  <si>
    <t>MONDE</t>
  </si>
  <si>
    <t>DEMON</t>
  </si>
  <si>
    <t>POULE</t>
  </si>
  <si>
    <t>PURE</t>
  </si>
  <si>
    <t>OPERA</t>
  </si>
  <si>
    <t>DIETE</t>
  </si>
  <si>
    <t>DIGUE</t>
  </si>
  <si>
    <t>SPORE</t>
  </si>
  <si>
    <t>DESIR</t>
  </si>
  <si>
    <t>OSER</t>
  </si>
  <si>
    <t>MAIS</t>
  </si>
  <si>
    <t>SECRET</t>
  </si>
  <si>
    <t>Not expected</t>
  </si>
  <si>
    <t>sub_03</t>
  </si>
  <si>
    <t>sub_02</t>
  </si>
  <si>
    <t>sub_04</t>
  </si>
  <si>
    <t>Control</t>
  </si>
  <si>
    <t>sub_06</t>
  </si>
  <si>
    <t>Double click :</t>
  </si>
  <si>
    <t>à priori trop dure mais réponse trouvée :</t>
  </si>
  <si>
    <t>Affichage Event (s)</t>
  </si>
  <si>
    <t>Pression d (s)</t>
  </si>
  <si>
    <t>diff (s)</t>
  </si>
  <si>
    <t>sub_07</t>
  </si>
  <si>
    <t>sub_08</t>
  </si>
  <si>
    <t>sub_09</t>
  </si>
  <si>
    <t>Pas de réponse attendue mais click</t>
  </si>
  <si>
    <t>sub_11</t>
  </si>
  <si>
    <t>score comparé :</t>
  </si>
  <si>
    <t>nb control :</t>
  </si>
  <si>
    <t>SD test :</t>
  </si>
  <si>
    <t>Score moyen test :</t>
  </si>
  <si>
    <t>Score moyen control :</t>
  </si>
  <si>
    <t>Résultat : control/Test</t>
  </si>
  <si>
    <t>Test</t>
  </si>
  <si>
    <t>RAGE</t>
  </si>
  <si>
    <t>Temps moyen</t>
  </si>
  <si>
    <t>SD</t>
  </si>
  <si>
    <t>% réussite</t>
  </si>
  <si>
    <t>Diff mu :</t>
  </si>
  <si>
    <t>Diff SD :</t>
  </si>
  <si>
    <t>4.04423046112106</t>
  </si>
  <si>
    <t>12.6049315929411</t>
  </si>
  <si>
    <t>16.683755397797</t>
  </si>
  <si>
    <t>sub_10</t>
  </si>
  <si>
    <t>sub_12</t>
  </si>
  <si>
    <t>sub_13</t>
  </si>
  <si>
    <t>sub_14</t>
  </si>
  <si>
    <t>sub_05</t>
  </si>
  <si>
    <t>GROUPE CTRL</t>
  </si>
  <si>
    <t>GROUPE TEST</t>
  </si>
  <si>
    <t xml:space="preserve">Temps résolution </t>
  </si>
  <si>
    <t>nb échec</t>
  </si>
  <si>
    <t>Total</t>
  </si>
  <si>
    <t>Ecart type</t>
  </si>
  <si>
    <t>p-value</t>
  </si>
  <si>
    <t>Moyenne</t>
  </si>
  <si>
    <t>Ctrl</t>
  </si>
  <si>
    <t>Test de student sur Nombre de bonne réponse du participant</t>
  </si>
  <si>
    <t xml:space="preserve"> Probabilité d'obtenir ces résultats si H0 est vraie (H0 : Nb1&gt;Nb2)</t>
  </si>
  <si>
    <t xml:space="preserve"> Probabilité d'obtenir ces résultats si H0 est vraie (H0 : Nb1&gt;Nb2 ou Nb1&lt;Nb2)</t>
  </si>
  <si>
    <t>test sur les bonnes réponses</t>
  </si>
  <si>
    <t>double cliques, cliques sans réponse, bonne réponse mais oublis lors des questions</t>
  </si>
  <si>
    <t>Corrélation</t>
  </si>
  <si>
    <t>test sur les erreurs de réponses : double cliques, cliques sans réponse, bonne réponse mais oublis lors des questions, réponse non en français</t>
  </si>
  <si>
    <t>N° Sub</t>
  </si>
  <si>
    <t>Pas de réponse but press</t>
  </si>
  <si>
    <t xml:space="preserve"> press mais oubli de la réponse</t>
  </si>
  <si>
    <t>Appuie sans réponse</t>
  </si>
  <si>
    <t>Appuie sans question</t>
  </si>
  <si>
    <t>Trois appuie sans réponse</t>
  </si>
  <si>
    <t>Pas d'appuie mais bonne réponse</t>
  </si>
  <si>
    <t>2 appuie sans question</t>
  </si>
  <si>
    <t>Quatre appuies pour une réponse</t>
  </si>
  <si>
    <t>Bonne réponse pas d'appuie</t>
  </si>
  <si>
    <t>Oublie de la réponse</t>
  </si>
  <si>
    <t>Double cliques 1 réponse</t>
  </si>
  <si>
    <t>Double appuie</t>
  </si>
  <si>
    <t>6 appuie, 1 réponse</t>
  </si>
  <si>
    <t>2 appuie, 1 réponse</t>
  </si>
  <si>
    <t>Mediane</t>
  </si>
  <si>
    <t>Pas d'appuie, réponse pas attendue</t>
  </si>
  <si>
    <t>Test de student sur : H0 = "Nb erreur test &gt; Nb erreur ctrl"</t>
  </si>
  <si>
    <t>prise en compte de merge</t>
  </si>
  <si>
    <t>sans prise en compte de merge</t>
  </si>
  <si>
    <t>Avec "Merge"</t>
  </si>
  <si>
    <t>Sans "Merge"</t>
  </si>
  <si>
    <t>Somme</t>
  </si>
  <si>
    <t>test sur les temps de réfléxion supposés</t>
  </si>
  <si>
    <t>Test de student sur "Temps de rélféxion"</t>
  </si>
  <si>
    <t>test sur les temps de réfléxion supposés sur les bonnes réponses</t>
  </si>
  <si>
    <t>Sub</t>
  </si>
  <si>
    <t>temps de réfl</t>
  </si>
  <si>
    <t>Time</t>
  </si>
  <si>
    <t>SHAPIRO TEST</t>
  </si>
  <si>
    <t>1.61960816383361</t>
  </si>
  <si>
    <t>1.78391194343499</t>
  </si>
  <si>
    <t>1.812429905</t>
  </si>
  <si>
    <t>2.025596142</t>
  </si>
  <si>
    <t>2.06981635093688</t>
  </si>
  <si>
    <t>2.30746483802791</t>
  </si>
  <si>
    <t>2.43272805213996</t>
  </si>
  <si>
    <t>2.583261013031</t>
  </si>
  <si>
    <t>2.811060429</t>
  </si>
  <si>
    <t>3.144807816</t>
  </si>
  <si>
    <t>3.174311638</t>
  </si>
  <si>
    <t>3.28372287750199</t>
  </si>
  <si>
    <t>3.34450650215149</t>
  </si>
  <si>
    <t>3.490306854</t>
  </si>
  <si>
    <t>3.50378751754698</t>
  </si>
  <si>
    <t>3.635061741</t>
  </si>
  <si>
    <t>3.76035976409914</t>
  </si>
  <si>
    <t>3.851603031</t>
  </si>
  <si>
    <t>3.851984262</t>
  </si>
  <si>
    <t>3.943098306656</t>
  </si>
  <si>
    <t>4.238683701</t>
  </si>
  <si>
    <t>4.649073839</t>
  </si>
  <si>
    <t>4.70097875595098</t>
  </si>
  <si>
    <t>4.7884624</t>
  </si>
  <si>
    <t>5.149900198</t>
  </si>
  <si>
    <t>5.7326474189755</t>
  </si>
  <si>
    <t>5.79715800284998</t>
  </si>
  <si>
    <t>6.162629366</t>
  </si>
  <si>
    <t>6.266650677</t>
  </si>
  <si>
    <t>6.722864628</t>
  </si>
  <si>
    <t>6.749283075</t>
  </si>
  <si>
    <t>6.87879896163997</t>
  </si>
  <si>
    <t>7.153111458</t>
  </si>
  <si>
    <t>8.140243769</t>
  </si>
  <si>
    <t>8.627307177</t>
  </si>
  <si>
    <t>9.227755547</t>
  </si>
  <si>
    <t>9.637548923493</t>
  </si>
  <si>
    <t>10.88693309</t>
  </si>
  <si>
    <t>13.5641458034602</t>
  </si>
  <si>
    <t>14.246892929078</t>
  </si>
  <si>
    <t>14.275756597518</t>
  </si>
  <si>
    <t>14.395035982132</t>
  </si>
  <si>
    <t>16.158235788346</t>
  </si>
  <si>
    <t>16.204678058624</t>
  </si>
  <si>
    <t>16.944648265839</t>
  </si>
  <si>
    <t>17.809106588364</t>
  </si>
  <si>
    <t>18.655852794648</t>
  </si>
  <si>
    <t>19.596931219101</t>
  </si>
  <si>
    <t>19.990506649017</t>
  </si>
  <si>
    <t>O</t>
  </si>
  <si>
    <t>C</t>
  </si>
  <si>
    <t>E</t>
  </si>
  <si>
    <t>A</t>
  </si>
  <si>
    <t>N</t>
  </si>
  <si>
    <t>test sur test OCEAN prédict LH</t>
  </si>
  <si>
    <t>RT/ctrl</t>
  </si>
  <si>
    <t>RT/test</t>
  </si>
  <si>
    <t>ctrl/ O score</t>
  </si>
  <si>
    <t>ctrl/ Cscore</t>
  </si>
  <si>
    <t>ctrl/ Escore</t>
  </si>
  <si>
    <t>ctrl/ Ascore</t>
  </si>
  <si>
    <t>ctrl/Nscore</t>
  </si>
  <si>
    <t>Test/ O score</t>
  </si>
  <si>
    <t>Test/ Cscore</t>
  </si>
  <si>
    <t>Test/Escore</t>
  </si>
  <si>
    <t>Test/Ascore</t>
  </si>
  <si>
    <t>Test/Nscore</t>
  </si>
  <si>
    <t>r</t>
  </si>
  <si>
    <t>Pearson</t>
  </si>
  <si>
    <t>t</t>
  </si>
  <si>
    <t>nb pair : n</t>
  </si>
  <si>
    <t>df</t>
  </si>
  <si>
    <t>p</t>
  </si>
  <si>
    <t>Effectif test</t>
  </si>
  <si>
    <t>Effectif ctrl</t>
  </si>
  <si>
    <t>bonne réponse</t>
  </si>
  <si>
    <t>total</t>
  </si>
  <si>
    <t>Effectif</t>
  </si>
  <si>
    <t>Effectif attendu</t>
  </si>
  <si>
    <t>Résidu</t>
  </si>
  <si>
    <t>Test du chi 2 sur "La réponse est bonne"</t>
  </si>
  <si>
    <t>Pas de réponse</t>
  </si>
  <si>
    <t>ctrl</t>
  </si>
  <si>
    <t>Reponse</t>
  </si>
  <si>
    <t>Pas de Rép</t>
  </si>
  <si>
    <t>Chi 2 à 5%</t>
  </si>
  <si>
    <t>: Chi 2 stat</t>
  </si>
  <si>
    <t xml:space="preserve"> Probabilité d'obtenir ces résultats si H0 est vraie (H0 )</t>
  </si>
  <si>
    <t>p value</t>
  </si>
  <si>
    <t>O score</t>
  </si>
  <si>
    <t>Cscore</t>
  </si>
  <si>
    <t>Escore</t>
  </si>
  <si>
    <t>Ascore</t>
  </si>
  <si>
    <t>Nscore</t>
  </si>
  <si>
    <t>RT</t>
  </si>
  <si>
    <t>𝛘2</t>
  </si>
  <si>
    <t>Shapiro test</t>
  </si>
  <si>
    <t>Shap stat</t>
  </si>
  <si>
    <t>Test du chi 2 sur les erreurs de réponses</t>
  </si>
  <si>
    <t xml:space="preserve"> </t>
  </si>
  <si>
    <t>&lt;</t>
  </si>
  <si>
    <t>Moy :</t>
  </si>
  <si>
    <t>Score</t>
  </si>
  <si>
    <t>moy</t>
  </si>
  <si>
    <t>Se trompe</t>
  </si>
  <si>
    <t>x</t>
  </si>
  <si>
    <t>Différences Corrigées</t>
  </si>
  <si>
    <t>N/A</t>
  </si>
  <si>
    <t>CTRL</t>
  </si>
  <si>
    <t>LH</t>
  </si>
  <si>
    <t>Moyenne LH</t>
  </si>
  <si>
    <t>Moyenne CTRL</t>
  </si>
  <si>
    <t>nb fausses reponses.</t>
  </si>
  <si>
    <t>pas concontré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</si>
</sst>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2" borderId="10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2" fontId="0" fillId="3" borderId="13" xfId="0" applyNumberForma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2" fontId="0" fillId="4" borderId="13" xfId="0" applyNumberFormat="1" applyFill="1" applyBorder="1" applyAlignment="1">
      <alignment horizontal="center"/>
    </xf>
    <xf numFmtId="9" fontId="0" fillId="0" borderId="8" xfId="1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18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0" xfId="1" applyFont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3" xfId="0" applyBorder="1" applyAlignment="1">
      <alignment horizontal="center" vertical="center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9" fontId="0" fillId="0" borderId="11" xfId="1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0" borderId="0" xfId="0" applyFont="1"/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9" fontId="0" fillId="0" borderId="0" xfId="1" applyFont="1" applyBorder="1" applyAlignment="1">
      <alignment horizontal="center"/>
    </xf>
    <xf numFmtId="0" fontId="2" fillId="0" borderId="10" xfId="0" applyFont="1" applyBorder="1"/>
    <xf numFmtId="0" fontId="2" fillId="0" borderId="5" xfId="0" applyFon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4" borderId="0" xfId="0" applyFont="1" applyFill="1" applyAlignment="1">
      <alignment horizontal="left"/>
    </xf>
    <xf numFmtId="0" fontId="0" fillId="0" borderId="0" xfId="0" applyAlignment="1">
      <alignment horizontal="justify"/>
    </xf>
    <xf numFmtId="0" fontId="0" fillId="6" borderId="0" xfId="0" applyFill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Temps de reponse entre</a:t>
            </a:r>
            <a:r>
              <a:rPr lang="fr-FR" baseline="0"/>
              <a:t> le groupe de test et de contrôle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8403296841493443E-3"/>
                  <c:y val="-7.63843857072577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'brut-analyse'!$AX$3:$DO$3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</c:numCache>
            </c:numRef>
          </c:xVal>
          <c:yVal>
            <c:numRef>
              <c:f>'brut-analyse'!$AX$2:$DO$2</c:f>
              <c:numCache>
                <c:formatCode>General</c:formatCode>
                <c:ptCount val="70"/>
                <c:pt idx="0">
                  <c:v>5.7326474189754997</c:v>
                </c:pt>
                <c:pt idx="1">
                  <c:v>2.8110604289999999</c:v>
                </c:pt>
                <c:pt idx="2">
                  <c:v>4.2386837010000002</c:v>
                </c:pt>
                <c:pt idx="3">
                  <c:v>3.490306854</c:v>
                </c:pt>
                <c:pt idx="4">
                  <c:v>4.6490738389999997</c:v>
                </c:pt>
                <c:pt idx="5">
                  <c:v>1.8124299049999999</c:v>
                </c:pt>
                <c:pt idx="6">
                  <c:v>6.722864628</c:v>
                </c:pt>
                <c:pt idx="7">
                  <c:v>6.7492830750000001</c:v>
                </c:pt>
                <c:pt idx="8">
                  <c:v>5.1499001980000001</c:v>
                </c:pt>
                <c:pt idx="9">
                  <c:v>20</c:v>
                </c:pt>
                <c:pt idx="10">
                  <c:v>10.886933089999999</c:v>
                </c:pt>
                <c:pt idx="11">
                  <c:v>4.7884624000000002</c:v>
                </c:pt>
                <c:pt idx="12">
                  <c:v>2.0255961419999999</c:v>
                </c:pt>
                <c:pt idx="13">
                  <c:v>20</c:v>
                </c:pt>
                <c:pt idx="14">
                  <c:v>20</c:v>
                </c:pt>
                <c:pt idx="15">
                  <c:v>4.7009787559509846</c:v>
                </c:pt>
                <c:pt idx="16">
                  <c:v>6.8787989616399727</c:v>
                </c:pt>
                <c:pt idx="17">
                  <c:v>3.9430983066559975</c:v>
                </c:pt>
                <c:pt idx="18">
                  <c:v>3.5037875175469821</c:v>
                </c:pt>
                <c:pt idx="19">
                  <c:v>1.7839119434349868</c:v>
                </c:pt>
                <c:pt idx="20">
                  <c:v>2.4327280521399643</c:v>
                </c:pt>
                <c:pt idx="21">
                  <c:v>19.596931219100998</c:v>
                </c:pt>
                <c:pt idx="22">
                  <c:v>20</c:v>
                </c:pt>
                <c:pt idx="23">
                  <c:v>20</c:v>
                </c:pt>
                <c:pt idx="24">
                  <c:v>16.944648265839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3.3445065021514893</c:v>
                </c:pt>
                <c:pt idx="29">
                  <c:v>3.7603597640991353</c:v>
                </c:pt>
                <c:pt idx="30">
                  <c:v>20</c:v>
                </c:pt>
                <c:pt idx="31">
                  <c:v>2.5832610130309988</c:v>
                </c:pt>
                <c:pt idx="32">
                  <c:v>2.0698163509368825</c:v>
                </c:pt>
                <c:pt idx="33">
                  <c:v>1.6196081638336146</c:v>
                </c:pt>
                <c:pt idx="34">
                  <c:v>2.3074648380279079</c:v>
                </c:pt>
                <c:pt idx="35">
                  <c:v>20</c:v>
                </c:pt>
                <c:pt idx="36">
                  <c:v>3.8516030309999998</c:v>
                </c:pt>
                <c:pt idx="37">
                  <c:v>3.1743116379999998</c:v>
                </c:pt>
                <c:pt idx="38">
                  <c:v>20</c:v>
                </c:pt>
                <c:pt idx="39">
                  <c:v>6.162629366</c:v>
                </c:pt>
                <c:pt idx="40">
                  <c:v>7.1531114579999997</c:v>
                </c:pt>
                <c:pt idx="41">
                  <c:v>8.1402437689999996</c:v>
                </c:pt>
                <c:pt idx="42">
                  <c:v>6.2666506770000003</c:v>
                </c:pt>
                <c:pt idx="43">
                  <c:v>9.2277555469999992</c:v>
                </c:pt>
                <c:pt idx="44">
                  <c:v>3.1448078160000001</c:v>
                </c:pt>
                <c:pt idx="45">
                  <c:v>3.8519842620000002</c:v>
                </c:pt>
                <c:pt idx="46">
                  <c:v>8.6273071770000005</c:v>
                </c:pt>
                <c:pt idx="47">
                  <c:v>3.6350617409999999</c:v>
                </c:pt>
                <c:pt idx="48">
                  <c:v>16.158235788345991</c:v>
                </c:pt>
                <c:pt idx="49">
                  <c:v>16.20467805862404</c:v>
                </c:pt>
                <c:pt idx="50">
                  <c:v>5.7971580028499829</c:v>
                </c:pt>
                <c:pt idx="51">
                  <c:v>17.809106588363989</c:v>
                </c:pt>
                <c:pt idx="52">
                  <c:v>20</c:v>
                </c:pt>
                <c:pt idx="53">
                  <c:v>20</c:v>
                </c:pt>
                <c:pt idx="54">
                  <c:v>14.395035982132015</c:v>
                </c:pt>
                <c:pt idx="55">
                  <c:v>20</c:v>
                </c:pt>
                <c:pt idx="56">
                  <c:v>18.655852794648013</c:v>
                </c:pt>
                <c:pt idx="57">
                  <c:v>20</c:v>
                </c:pt>
                <c:pt idx="58">
                  <c:v>14.275756597518011</c:v>
                </c:pt>
                <c:pt idx="59">
                  <c:v>20</c:v>
                </c:pt>
                <c:pt idx="60">
                  <c:v>9.6375489234930001</c:v>
                </c:pt>
                <c:pt idx="61">
                  <c:v>20</c:v>
                </c:pt>
                <c:pt idx="62">
                  <c:v>14.246892929078001</c:v>
                </c:pt>
                <c:pt idx="63">
                  <c:v>3.2837228775019867</c:v>
                </c:pt>
                <c:pt idx="64">
                  <c:v>13.564145803460178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19.990506649016993</c:v>
                </c:pt>
                <c:pt idx="6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89-AE44-BD8D-BEE16C035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9708912"/>
        <c:axId val="1905512304"/>
      </c:scatterChart>
      <c:valAx>
        <c:axId val="189970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5512304"/>
        <c:crosses val="autoZero"/>
        <c:crossBetween val="midCat"/>
      </c:valAx>
      <c:valAx>
        <c:axId val="19055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99708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'brut-analyse'!$CG$2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'brut-analyse'!$CH$2:$DO$2</c:f>
              <c:numCache>
                <c:formatCode>General</c:formatCode>
                <c:ptCount val="34"/>
                <c:pt idx="0">
                  <c:v>3.8516030309999998</c:v>
                </c:pt>
                <c:pt idx="1">
                  <c:v>3.1743116379999998</c:v>
                </c:pt>
                <c:pt idx="2">
                  <c:v>20</c:v>
                </c:pt>
                <c:pt idx="3">
                  <c:v>6.162629366</c:v>
                </c:pt>
                <c:pt idx="4">
                  <c:v>7.1531114579999997</c:v>
                </c:pt>
                <c:pt idx="5">
                  <c:v>8.1402437689999996</c:v>
                </c:pt>
                <c:pt idx="6">
                  <c:v>6.2666506770000003</c:v>
                </c:pt>
                <c:pt idx="7">
                  <c:v>9.2277555469999992</c:v>
                </c:pt>
                <c:pt idx="8">
                  <c:v>3.1448078160000001</c:v>
                </c:pt>
                <c:pt idx="9">
                  <c:v>3.8519842620000002</c:v>
                </c:pt>
                <c:pt idx="10">
                  <c:v>8.6273071770000005</c:v>
                </c:pt>
                <c:pt idx="11">
                  <c:v>3.6350617409999999</c:v>
                </c:pt>
                <c:pt idx="12">
                  <c:v>16.158235788345991</c:v>
                </c:pt>
                <c:pt idx="13">
                  <c:v>16.20467805862404</c:v>
                </c:pt>
                <c:pt idx="14">
                  <c:v>5.7971580028499829</c:v>
                </c:pt>
                <c:pt idx="15">
                  <c:v>17.809106588363989</c:v>
                </c:pt>
                <c:pt idx="16">
                  <c:v>20</c:v>
                </c:pt>
                <c:pt idx="17">
                  <c:v>20</c:v>
                </c:pt>
                <c:pt idx="18">
                  <c:v>14.395035982132015</c:v>
                </c:pt>
                <c:pt idx="19">
                  <c:v>20</c:v>
                </c:pt>
                <c:pt idx="20">
                  <c:v>18.655852794648013</c:v>
                </c:pt>
                <c:pt idx="21">
                  <c:v>20</c:v>
                </c:pt>
                <c:pt idx="22">
                  <c:v>14.275756597518011</c:v>
                </c:pt>
                <c:pt idx="23">
                  <c:v>20</c:v>
                </c:pt>
                <c:pt idx="24">
                  <c:v>9.6375489234930001</c:v>
                </c:pt>
                <c:pt idx="25">
                  <c:v>20</c:v>
                </c:pt>
                <c:pt idx="26">
                  <c:v>14.246892929078001</c:v>
                </c:pt>
                <c:pt idx="27">
                  <c:v>3.2837228775019867</c:v>
                </c:pt>
                <c:pt idx="28">
                  <c:v>13.564145803460178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19.990506649016993</c:v>
                </c:pt>
                <c:pt idx="3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86-E549-A0C8-1CC01BFCF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22259120"/>
        <c:axId val="622182816"/>
      </c:barChart>
      <c:catAx>
        <c:axId val="6222591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2182816"/>
        <c:crosses val="autoZero"/>
        <c:auto val="1"/>
        <c:lblAlgn val="ctr"/>
        <c:lblOffset val="100"/>
        <c:noMultiLvlLbl val="0"/>
      </c:catAx>
      <c:valAx>
        <c:axId val="62218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225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Contro</a:t>
            </a:r>
            <a:r>
              <a:rPr lang="fr-FR" baseline="0"/>
              <a:t>l </a:t>
            </a:r>
            <a:r>
              <a:rPr lang="fr-FR"/>
              <a:t>vs LH for neuroticism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2467454799630656"/>
          <c:y val="0.17365941455944123"/>
          <c:w val="0.53037273538439267"/>
          <c:h val="0.57688520317218395"/>
        </c:manualLayout>
      </c:layout>
      <c:scatterChart>
        <c:scatterStyle val="lineMarker"/>
        <c:varyColors val="0"/>
        <c:ser>
          <c:idx val="2"/>
          <c:order val="0"/>
          <c:tx>
            <c:v>All subjects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name>All subjects</c:nam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7101747592072467"/>
                  <c:y val="5.018612664122392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('brut-analyse'!$BW$12:$BW$18,'brut-analyse'!$CD$12:$CD$18)</c:f>
              <c:numCache>
                <c:formatCode>General</c:formatCode>
                <c:ptCount val="14"/>
                <c:pt idx="0">
                  <c:v>1.94444444444444</c:v>
                </c:pt>
                <c:pt idx="1">
                  <c:v>1.94444444444444</c:v>
                </c:pt>
                <c:pt idx="2">
                  <c:v>2.7083333333333299</c:v>
                </c:pt>
                <c:pt idx="3">
                  <c:v>2.1527777777777701</c:v>
                </c:pt>
                <c:pt idx="4">
                  <c:v>1.94444444444444</c:v>
                </c:pt>
                <c:pt idx="5">
                  <c:v>2.2222222222222201</c:v>
                </c:pt>
                <c:pt idx="6">
                  <c:v>3.05555555555555</c:v>
                </c:pt>
                <c:pt idx="7">
                  <c:v>2.2916666666666599</c:v>
                </c:pt>
                <c:pt idx="8">
                  <c:v>1.4583333333333299</c:v>
                </c:pt>
                <c:pt idx="9">
                  <c:v>2.0833333333333299</c:v>
                </c:pt>
                <c:pt idx="10">
                  <c:v>2.8472222222222201</c:v>
                </c:pt>
                <c:pt idx="11">
                  <c:v>2.63888888888888</c:v>
                </c:pt>
                <c:pt idx="12">
                  <c:v>1.94444444444444</c:v>
                </c:pt>
                <c:pt idx="13">
                  <c:v>3.05555555555555</c:v>
                </c:pt>
              </c:numCache>
            </c:numRef>
          </c:xVal>
          <c:yVal>
            <c:numRef>
              <c:f>('brut-analyse'!$BX$12:$BX$18,'brut-analyse'!$BY$12:$BY$18)</c:f>
              <c:numCache>
                <c:formatCode>General</c:formatCode>
                <c:ptCount val="14"/>
                <c:pt idx="0">
                  <c:v>11.084673643045587</c:v>
                </c:pt>
                <c:pt idx="1">
                  <c:v>7.2844598294100233</c:v>
                </c:pt>
                <c:pt idx="2">
                  <c:v>14.223496532527994</c:v>
                </c:pt>
                <c:pt idx="3">
                  <c:v>7.5696495059051916</c:v>
                </c:pt>
                <c:pt idx="4">
                  <c:v>7.002228021496772</c:v>
                </c:pt>
                <c:pt idx="5">
                  <c:v>5.4483092308537202</c:v>
                </c:pt>
                <c:pt idx="6">
                  <c:v>10.292611503633575</c:v>
                </c:pt>
                <c:pt idx="7">
                  <c:v>11.10272610194351</c:v>
                </c:pt>
                <c:pt idx="8">
                  <c:v>10.488132476862031</c:v>
                </c:pt>
                <c:pt idx="9">
                  <c:v>11.680796527976401</c:v>
                </c:pt>
                <c:pt idx="10">
                  <c:v>16.770396852400001</c:v>
                </c:pt>
                <c:pt idx="11">
                  <c:v>12.8854970932986</c:v>
                </c:pt>
                <c:pt idx="12">
                  <c:v>13.034743166029802</c:v>
                </c:pt>
                <c:pt idx="13">
                  <c:v>15.709074497284798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412-0E40-B1DD-86672A69AFCA}"/>
            </c:ext>
          </c:extLst>
        </c:ser>
        <c:ser>
          <c:idx val="0"/>
          <c:order val="1"/>
          <c:tx>
            <c:v>Control group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trendline>
            <c:spPr>
              <a:ln w="12700" cap="rnd">
                <a:solidFill>
                  <a:srgbClr val="92D050"/>
                </a:solidFill>
                <a:prstDash val="lgDash"/>
                <a:headEnd type="none"/>
                <a:tailEnd type="none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7376747521698468"/>
                  <c:y val="0.149216910388029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92D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'brut-analyse'!$BW$12:$BW$18</c:f>
              <c:numCache>
                <c:formatCode>General</c:formatCode>
                <c:ptCount val="7"/>
                <c:pt idx="0">
                  <c:v>1.94444444444444</c:v>
                </c:pt>
                <c:pt idx="1">
                  <c:v>1.94444444444444</c:v>
                </c:pt>
                <c:pt idx="2">
                  <c:v>2.7083333333333299</c:v>
                </c:pt>
                <c:pt idx="3">
                  <c:v>2.1527777777777701</c:v>
                </c:pt>
                <c:pt idx="4">
                  <c:v>1.94444444444444</c:v>
                </c:pt>
                <c:pt idx="5">
                  <c:v>2.2222222222222201</c:v>
                </c:pt>
                <c:pt idx="6">
                  <c:v>3.05555555555555</c:v>
                </c:pt>
              </c:numCache>
            </c:numRef>
          </c:xVal>
          <c:yVal>
            <c:numRef>
              <c:f>'brut-analyse'!$BX$12:$BX$18</c:f>
              <c:numCache>
                <c:formatCode>General</c:formatCode>
                <c:ptCount val="7"/>
                <c:pt idx="0">
                  <c:v>11.084673643045587</c:v>
                </c:pt>
                <c:pt idx="1">
                  <c:v>7.2844598294100233</c:v>
                </c:pt>
                <c:pt idx="2">
                  <c:v>14.223496532527994</c:v>
                </c:pt>
                <c:pt idx="3">
                  <c:v>7.5696495059051916</c:v>
                </c:pt>
                <c:pt idx="4">
                  <c:v>7.002228021496772</c:v>
                </c:pt>
                <c:pt idx="5">
                  <c:v>5.4483092308537202</c:v>
                </c:pt>
                <c:pt idx="6">
                  <c:v>10.292611503633575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12-0E40-B1DD-86672A69AFCA}"/>
            </c:ext>
          </c:extLst>
        </c:ser>
        <c:ser>
          <c:idx val="1"/>
          <c:order val="2"/>
          <c:tx>
            <c:v>LH group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 cmpd="sng">
                <a:solidFill>
                  <a:srgbClr val="FF0000"/>
                </a:solidFill>
                <a:prstDash val="dash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1292983571429192"/>
                  <c:y val="-3.9333607206784235E-2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'brut-analyse'!$CD$12:$CD$18</c:f>
              <c:numCache>
                <c:formatCode>General</c:formatCode>
                <c:ptCount val="7"/>
                <c:pt idx="0">
                  <c:v>2.2916666666666599</c:v>
                </c:pt>
                <c:pt idx="1">
                  <c:v>1.4583333333333299</c:v>
                </c:pt>
                <c:pt idx="2">
                  <c:v>2.0833333333333299</c:v>
                </c:pt>
                <c:pt idx="3">
                  <c:v>2.8472222222222201</c:v>
                </c:pt>
                <c:pt idx="4">
                  <c:v>2.63888888888888</c:v>
                </c:pt>
                <c:pt idx="5">
                  <c:v>1.94444444444444</c:v>
                </c:pt>
                <c:pt idx="6">
                  <c:v>3.05555555555555</c:v>
                </c:pt>
              </c:numCache>
            </c:numRef>
          </c:xVal>
          <c:yVal>
            <c:numRef>
              <c:f>'brut-analyse'!$BY$12:$BY$18</c:f>
              <c:numCache>
                <c:formatCode>General</c:formatCode>
                <c:ptCount val="7"/>
                <c:pt idx="0">
                  <c:v>11.10272610194351</c:v>
                </c:pt>
                <c:pt idx="1">
                  <c:v>10.488132476862031</c:v>
                </c:pt>
                <c:pt idx="2">
                  <c:v>11.680796527976401</c:v>
                </c:pt>
                <c:pt idx="3">
                  <c:v>16.770396852400001</c:v>
                </c:pt>
                <c:pt idx="4">
                  <c:v>12.8854970932986</c:v>
                </c:pt>
                <c:pt idx="5">
                  <c:v>13.034743166029802</c:v>
                </c:pt>
                <c:pt idx="6">
                  <c:v>15.709074497284798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12-0E40-B1DD-86672A69A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261296"/>
        <c:axId val="388361024"/>
      </c:scatterChart>
      <c:valAx>
        <c:axId val="388261296"/>
        <c:scaling>
          <c:orientation val="minMax"/>
          <c:max val="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 score</a:t>
                </a:r>
              </a:p>
            </c:rich>
          </c:tx>
          <c:layout>
            <c:manualLayout>
              <c:xMode val="edge"/>
              <c:yMode val="edge"/>
              <c:x val="0.34500796938293521"/>
              <c:y val="0.83081402218005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361024"/>
        <c:crosses val="autoZero"/>
        <c:crossBetween val="midCat"/>
      </c:valAx>
      <c:valAx>
        <c:axId val="388361024"/>
        <c:scaling>
          <c:orientation val="minMax"/>
          <c:min val="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to answer (s)</a:t>
                </a:r>
              </a:p>
            </c:rich>
          </c:tx>
          <c:layout>
            <c:manualLayout>
              <c:xMode val="edge"/>
              <c:yMode val="edge"/>
              <c:x val="2.2094183939467202E-2"/>
              <c:y val="0.268539159622712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261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Control vs LH for openness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All subjects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name>All subjects</c:nam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7745395049164793"/>
                  <c:y val="-0.142428902566665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('brut-analyse'!$BS$12:$BS$18,'brut-analyse'!$BZ$12:$BZ$18)</c:f>
              <c:numCache>
                <c:formatCode>General</c:formatCode>
                <c:ptCount val="14"/>
                <c:pt idx="0">
                  <c:v>3.88888888888888</c:v>
                </c:pt>
                <c:pt idx="1">
                  <c:v>3.3333333333333299</c:v>
                </c:pt>
                <c:pt idx="2">
                  <c:v>4.1666666666666599</c:v>
                </c:pt>
                <c:pt idx="3">
                  <c:v>5</c:v>
                </c:pt>
                <c:pt idx="4">
                  <c:v>3.88888888888888</c:v>
                </c:pt>
                <c:pt idx="5">
                  <c:v>3.05555555555555</c:v>
                </c:pt>
                <c:pt idx="6">
                  <c:v>3.88888888888888</c:v>
                </c:pt>
                <c:pt idx="7">
                  <c:v>4.4444444444444402</c:v>
                </c:pt>
                <c:pt idx="8">
                  <c:v>3.6111111111111098</c:v>
                </c:pt>
                <c:pt idx="9">
                  <c:v>2.3611111111111098</c:v>
                </c:pt>
                <c:pt idx="10">
                  <c:v>3.1944444444444402</c:v>
                </c:pt>
                <c:pt idx="11">
                  <c:v>4.5833333333333304</c:v>
                </c:pt>
                <c:pt idx="12">
                  <c:v>2.2222222222222201</c:v>
                </c:pt>
                <c:pt idx="13">
                  <c:v>2.2222222222222201</c:v>
                </c:pt>
              </c:numCache>
            </c:numRef>
          </c:xVal>
          <c:yVal>
            <c:numRef>
              <c:f>('brut-analyse'!$BX$12:$BX$18,'brut-analyse'!$BY$12:$BY$18)</c:f>
              <c:numCache>
                <c:formatCode>General</c:formatCode>
                <c:ptCount val="14"/>
                <c:pt idx="0">
                  <c:v>11.084673643045587</c:v>
                </c:pt>
                <c:pt idx="1">
                  <c:v>7.2844598294100233</c:v>
                </c:pt>
                <c:pt idx="2">
                  <c:v>14.223496532527994</c:v>
                </c:pt>
                <c:pt idx="3">
                  <c:v>7.5696495059051916</c:v>
                </c:pt>
                <c:pt idx="4">
                  <c:v>7.002228021496772</c:v>
                </c:pt>
                <c:pt idx="5">
                  <c:v>5.4483092308537202</c:v>
                </c:pt>
                <c:pt idx="6">
                  <c:v>10.292611503633575</c:v>
                </c:pt>
                <c:pt idx="7">
                  <c:v>11.10272610194351</c:v>
                </c:pt>
                <c:pt idx="8">
                  <c:v>10.488132476862031</c:v>
                </c:pt>
                <c:pt idx="9">
                  <c:v>11.680796527976401</c:v>
                </c:pt>
                <c:pt idx="10">
                  <c:v>16.770396852400001</c:v>
                </c:pt>
                <c:pt idx="11">
                  <c:v>12.8854970932986</c:v>
                </c:pt>
                <c:pt idx="12">
                  <c:v>13.034743166029802</c:v>
                </c:pt>
                <c:pt idx="13">
                  <c:v>15.709074497284798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318-2A49-A91D-E0810C951340}"/>
            </c:ext>
          </c:extLst>
        </c:ser>
        <c:ser>
          <c:idx val="0"/>
          <c:order val="1"/>
          <c:tx>
            <c:v>Control group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trendline>
            <c:spPr>
              <a:ln w="12700" cap="rnd">
                <a:solidFill>
                  <a:srgbClr val="92D050"/>
                </a:solidFill>
                <a:prstDash val="lg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7193786894224573"/>
                  <c:y val="0.122327458117325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92D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'brut-analyse'!$BS$12:$BS$18</c:f>
              <c:numCache>
                <c:formatCode>General</c:formatCode>
                <c:ptCount val="7"/>
                <c:pt idx="0">
                  <c:v>3.88888888888888</c:v>
                </c:pt>
                <c:pt idx="1">
                  <c:v>3.3333333333333299</c:v>
                </c:pt>
                <c:pt idx="2">
                  <c:v>4.1666666666666599</c:v>
                </c:pt>
                <c:pt idx="3">
                  <c:v>5</c:v>
                </c:pt>
                <c:pt idx="4">
                  <c:v>3.88888888888888</c:v>
                </c:pt>
                <c:pt idx="5">
                  <c:v>3.05555555555555</c:v>
                </c:pt>
                <c:pt idx="6">
                  <c:v>3.88888888888888</c:v>
                </c:pt>
              </c:numCache>
            </c:numRef>
          </c:xVal>
          <c:yVal>
            <c:numRef>
              <c:f>'brut-analyse'!$BX$12:$BX$18</c:f>
              <c:numCache>
                <c:formatCode>General</c:formatCode>
                <c:ptCount val="7"/>
                <c:pt idx="0">
                  <c:v>11.084673643045587</c:v>
                </c:pt>
                <c:pt idx="1">
                  <c:v>7.2844598294100233</c:v>
                </c:pt>
                <c:pt idx="2">
                  <c:v>14.223496532527994</c:v>
                </c:pt>
                <c:pt idx="3">
                  <c:v>7.5696495059051916</c:v>
                </c:pt>
                <c:pt idx="4">
                  <c:v>7.002228021496772</c:v>
                </c:pt>
                <c:pt idx="5">
                  <c:v>5.4483092308537202</c:v>
                </c:pt>
                <c:pt idx="6">
                  <c:v>10.292611503633575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18-2A49-A91D-E0810C951340}"/>
            </c:ext>
          </c:extLst>
        </c:ser>
        <c:ser>
          <c:idx val="1"/>
          <c:order val="2"/>
          <c:tx>
            <c:v>LH group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rgbClr val="FF0000"/>
                </a:solidFill>
                <a:prstDash val="dash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4181289711986707"/>
                  <c:y val="-0.237738577567370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'brut-analyse'!$BZ$12:$BZ$18</c:f>
              <c:numCache>
                <c:formatCode>General</c:formatCode>
                <c:ptCount val="7"/>
                <c:pt idx="0">
                  <c:v>4.4444444444444402</c:v>
                </c:pt>
                <c:pt idx="1">
                  <c:v>3.6111111111111098</c:v>
                </c:pt>
                <c:pt idx="2">
                  <c:v>2.3611111111111098</c:v>
                </c:pt>
                <c:pt idx="3">
                  <c:v>3.1944444444444402</c:v>
                </c:pt>
                <c:pt idx="4">
                  <c:v>4.5833333333333304</c:v>
                </c:pt>
                <c:pt idx="5">
                  <c:v>2.2222222222222201</c:v>
                </c:pt>
                <c:pt idx="6">
                  <c:v>2.2222222222222201</c:v>
                </c:pt>
              </c:numCache>
            </c:numRef>
          </c:xVal>
          <c:yVal>
            <c:numRef>
              <c:f>'brut-analyse'!$BY$12:$BY$18</c:f>
              <c:numCache>
                <c:formatCode>General</c:formatCode>
                <c:ptCount val="7"/>
                <c:pt idx="0">
                  <c:v>11.10272610194351</c:v>
                </c:pt>
                <c:pt idx="1">
                  <c:v>10.488132476862031</c:v>
                </c:pt>
                <c:pt idx="2">
                  <c:v>11.680796527976401</c:v>
                </c:pt>
                <c:pt idx="3">
                  <c:v>16.770396852400001</c:v>
                </c:pt>
                <c:pt idx="4">
                  <c:v>12.8854970932986</c:v>
                </c:pt>
                <c:pt idx="5">
                  <c:v>13.034743166029802</c:v>
                </c:pt>
                <c:pt idx="6">
                  <c:v>15.709074497284798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18-2A49-A91D-E0810C951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261296"/>
        <c:axId val="388361024"/>
      </c:scatterChart>
      <c:valAx>
        <c:axId val="388261296"/>
        <c:scaling>
          <c:orientation val="minMax"/>
          <c:max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O score</a:t>
                </a:r>
              </a:p>
            </c:rich>
          </c:tx>
          <c:layout>
            <c:manualLayout>
              <c:xMode val="edge"/>
              <c:yMode val="edge"/>
              <c:x val="0.36930819593647857"/>
              <c:y val="0.873551287064000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361024"/>
        <c:crosses val="autoZero"/>
        <c:crossBetween val="midCat"/>
      </c:valAx>
      <c:valAx>
        <c:axId val="388361024"/>
        <c:scaling>
          <c:orientation val="minMax"/>
          <c:min val="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to answer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261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Control vs LH for </a:t>
            </a:r>
            <a:r>
              <a:rPr lang="fr-FR" sz="1400" b="0" i="0" u="none" strike="noStrike" baseline="0">
                <a:effectLst/>
              </a:rPr>
              <a:t>conscientiousness</a:t>
            </a:r>
            <a:endParaRPr lang="fr-FR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All subjects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name>All subjects</c:nam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787277254730384"/>
                  <c:y val="3.85581432517963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('brut-analyse'!$BT$12:$BT$18,'brut-analyse'!$CA$12:$CA$18)</c:f>
              <c:numCache>
                <c:formatCode>General</c:formatCode>
                <c:ptCount val="14"/>
                <c:pt idx="0">
                  <c:v>3.75</c:v>
                </c:pt>
                <c:pt idx="1">
                  <c:v>2.7631578947368398</c:v>
                </c:pt>
                <c:pt idx="2">
                  <c:v>3.9473684210526301</c:v>
                </c:pt>
                <c:pt idx="3">
                  <c:v>2.6973684210526301</c:v>
                </c:pt>
                <c:pt idx="4">
                  <c:v>3.1578947368421</c:v>
                </c:pt>
                <c:pt idx="5">
                  <c:v>2.5657894736842102</c:v>
                </c:pt>
                <c:pt idx="6">
                  <c:v>3.48684210526315</c:v>
                </c:pt>
                <c:pt idx="7">
                  <c:v>2.6973684210526301</c:v>
                </c:pt>
                <c:pt idx="8">
                  <c:v>3.1578947368421</c:v>
                </c:pt>
                <c:pt idx="9">
                  <c:v>3.0263157894736801</c:v>
                </c:pt>
                <c:pt idx="10">
                  <c:v>3.2894736842105199</c:v>
                </c:pt>
                <c:pt idx="11">
                  <c:v>3.6184210526315699</c:v>
                </c:pt>
                <c:pt idx="12">
                  <c:v>3.75</c:v>
                </c:pt>
                <c:pt idx="13">
                  <c:v>1.6447368421052599</c:v>
                </c:pt>
              </c:numCache>
            </c:numRef>
          </c:xVal>
          <c:yVal>
            <c:numRef>
              <c:f>('brut-analyse'!$BX$12:$BX$18,'brut-analyse'!$BY$12:$BY$18)</c:f>
              <c:numCache>
                <c:formatCode>General</c:formatCode>
                <c:ptCount val="14"/>
                <c:pt idx="0">
                  <c:v>11.084673643045587</c:v>
                </c:pt>
                <c:pt idx="1">
                  <c:v>7.2844598294100233</c:v>
                </c:pt>
                <c:pt idx="2">
                  <c:v>14.223496532527994</c:v>
                </c:pt>
                <c:pt idx="3">
                  <c:v>7.5696495059051916</c:v>
                </c:pt>
                <c:pt idx="4">
                  <c:v>7.002228021496772</c:v>
                </c:pt>
                <c:pt idx="5">
                  <c:v>5.4483092308537202</c:v>
                </c:pt>
                <c:pt idx="6">
                  <c:v>10.292611503633575</c:v>
                </c:pt>
                <c:pt idx="7">
                  <c:v>11.10272610194351</c:v>
                </c:pt>
                <c:pt idx="8">
                  <c:v>10.488132476862031</c:v>
                </c:pt>
                <c:pt idx="9">
                  <c:v>11.680796527976401</c:v>
                </c:pt>
                <c:pt idx="10">
                  <c:v>16.770396852400001</c:v>
                </c:pt>
                <c:pt idx="11">
                  <c:v>12.8854970932986</c:v>
                </c:pt>
                <c:pt idx="12">
                  <c:v>13.034743166029802</c:v>
                </c:pt>
                <c:pt idx="13">
                  <c:v>15.709074497284798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72-854F-9F9B-AFAA387424A7}"/>
            </c:ext>
          </c:extLst>
        </c:ser>
        <c:ser>
          <c:idx val="0"/>
          <c:order val="1"/>
          <c:tx>
            <c:v>Control group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trendline>
            <c:spPr>
              <a:ln w="12700" cap="rnd">
                <a:solidFill>
                  <a:srgbClr val="92D050"/>
                </a:solidFill>
                <a:prstDash val="lg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865817670183866"/>
                  <c:y val="0.294150039444811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92D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'brut-analyse'!$BT$12:$BT$18</c:f>
              <c:numCache>
                <c:formatCode>General</c:formatCode>
                <c:ptCount val="7"/>
                <c:pt idx="0">
                  <c:v>3.75</c:v>
                </c:pt>
                <c:pt idx="1">
                  <c:v>2.7631578947368398</c:v>
                </c:pt>
                <c:pt idx="2">
                  <c:v>3.9473684210526301</c:v>
                </c:pt>
                <c:pt idx="3">
                  <c:v>2.6973684210526301</c:v>
                </c:pt>
                <c:pt idx="4">
                  <c:v>3.1578947368421</c:v>
                </c:pt>
                <c:pt idx="5">
                  <c:v>2.5657894736842102</c:v>
                </c:pt>
                <c:pt idx="6">
                  <c:v>3.48684210526315</c:v>
                </c:pt>
              </c:numCache>
            </c:numRef>
          </c:xVal>
          <c:yVal>
            <c:numRef>
              <c:f>'brut-analyse'!$BX$12:$BX$18</c:f>
              <c:numCache>
                <c:formatCode>General</c:formatCode>
                <c:ptCount val="7"/>
                <c:pt idx="0">
                  <c:v>11.084673643045587</c:v>
                </c:pt>
                <c:pt idx="1">
                  <c:v>7.2844598294100233</c:v>
                </c:pt>
                <c:pt idx="2">
                  <c:v>14.223496532527994</c:v>
                </c:pt>
                <c:pt idx="3">
                  <c:v>7.5696495059051916</c:v>
                </c:pt>
                <c:pt idx="4">
                  <c:v>7.002228021496772</c:v>
                </c:pt>
                <c:pt idx="5">
                  <c:v>5.4483092308537202</c:v>
                </c:pt>
                <c:pt idx="6">
                  <c:v>10.292611503633575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FC-8540-BEED-95305411E30E}"/>
            </c:ext>
          </c:extLst>
        </c:ser>
        <c:ser>
          <c:idx val="1"/>
          <c:order val="2"/>
          <c:tx>
            <c:v>LH group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rgbClr val="FF0000"/>
                </a:solidFill>
                <a:prstDash val="dash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4246352622168926"/>
                  <c:y val="-0.157104804743787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'brut-analyse'!$CA$12:$CA$18</c:f>
              <c:numCache>
                <c:formatCode>General</c:formatCode>
                <c:ptCount val="7"/>
                <c:pt idx="0">
                  <c:v>2.6973684210526301</c:v>
                </c:pt>
                <c:pt idx="1">
                  <c:v>3.1578947368421</c:v>
                </c:pt>
                <c:pt idx="2">
                  <c:v>3.0263157894736801</c:v>
                </c:pt>
                <c:pt idx="3">
                  <c:v>3.2894736842105199</c:v>
                </c:pt>
                <c:pt idx="4">
                  <c:v>3.6184210526315699</c:v>
                </c:pt>
                <c:pt idx="5">
                  <c:v>3.75</c:v>
                </c:pt>
                <c:pt idx="6">
                  <c:v>1.6447368421052599</c:v>
                </c:pt>
              </c:numCache>
            </c:numRef>
          </c:xVal>
          <c:yVal>
            <c:numRef>
              <c:f>'brut-analyse'!$BY$12:$BY$18</c:f>
              <c:numCache>
                <c:formatCode>General</c:formatCode>
                <c:ptCount val="7"/>
                <c:pt idx="0">
                  <c:v>11.10272610194351</c:v>
                </c:pt>
                <c:pt idx="1">
                  <c:v>10.488132476862031</c:v>
                </c:pt>
                <c:pt idx="2">
                  <c:v>11.680796527976401</c:v>
                </c:pt>
                <c:pt idx="3">
                  <c:v>16.770396852400001</c:v>
                </c:pt>
                <c:pt idx="4">
                  <c:v>12.8854970932986</c:v>
                </c:pt>
                <c:pt idx="5">
                  <c:v>13.034743166029802</c:v>
                </c:pt>
                <c:pt idx="6">
                  <c:v>15.709074497284798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8FC-8540-BEED-95305411E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261296"/>
        <c:axId val="388361024"/>
      </c:scatterChart>
      <c:valAx>
        <c:axId val="388261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 score</a:t>
                </a:r>
              </a:p>
            </c:rich>
          </c:tx>
          <c:layout>
            <c:manualLayout>
              <c:xMode val="edge"/>
              <c:yMode val="edge"/>
              <c:x val="0.37627486716424768"/>
              <c:y val="0.870624135375944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361024"/>
        <c:crosses val="autoZero"/>
        <c:crossBetween val="midCat"/>
      </c:valAx>
      <c:valAx>
        <c:axId val="388361024"/>
        <c:scaling>
          <c:orientation val="minMax"/>
          <c:min val="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Time to answer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261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Control vs LH for extraversion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All subjects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name>All subjects</c:nam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1099611890503265"/>
                  <c:y val="-8.352478558601948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('brut-analyse'!$BU$12:$BU$18,'brut-analyse'!$CB$12:$CB$18)</c:f>
              <c:numCache>
                <c:formatCode>General</c:formatCode>
                <c:ptCount val="14"/>
                <c:pt idx="0">
                  <c:v>2.6666666666666599</c:v>
                </c:pt>
                <c:pt idx="1">
                  <c:v>3.6666666666666599</c:v>
                </c:pt>
                <c:pt idx="2">
                  <c:v>2.5</c:v>
                </c:pt>
                <c:pt idx="3">
                  <c:v>2.8333333333333299</c:v>
                </c:pt>
                <c:pt idx="4">
                  <c:v>3.3333333333333299</c:v>
                </c:pt>
                <c:pt idx="5">
                  <c:v>1.4166666666666601</c:v>
                </c:pt>
                <c:pt idx="6">
                  <c:v>1.75</c:v>
                </c:pt>
                <c:pt idx="7">
                  <c:v>1.9166666666666601</c:v>
                </c:pt>
                <c:pt idx="8">
                  <c:v>3.8333333333333299</c:v>
                </c:pt>
                <c:pt idx="9">
                  <c:v>2.5</c:v>
                </c:pt>
                <c:pt idx="10">
                  <c:v>2.25</c:v>
                </c:pt>
                <c:pt idx="11">
                  <c:v>4.5</c:v>
                </c:pt>
                <c:pt idx="12">
                  <c:v>2.25</c:v>
                </c:pt>
                <c:pt idx="13">
                  <c:v>2</c:v>
                </c:pt>
              </c:numCache>
            </c:numRef>
          </c:xVal>
          <c:yVal>
            <c:numRef>
              <c:f>('brut-analyse'!$BX$12:$BX$18,'brut-analyse'!$BY$12:$BY$18)</c:f>
              <c:numCache>
                <c:formatCode>General</c:formatCode>
                <c:ptCount val="14"/>
                <c:pt idx="0">
                  <c:v>11.084673643045587</c:v>
                </c:pt>
                <c:pt idx="1">
                  <c:v>7.2844598294100233</c:v>
                </c:pt>
                <c:pt idx="2">
                  <c:v>14.223496532527994</c:v>
                </c:pt>
                <c:pt idx="3">
                  <c:v>7.5696495059051916</c:v>
                </c:pt>
                <c:pt idx="4">
                  <c:v>7.002228021496772</c:v>
                </c:pt>
                <c:pt idx="5">
                  <c:v>5.4483092308537202</c:v>
                </c:pt>
                <c:pt idx="6">
                  <c:v>10.292611503633575</c:v>
                </c:pt>
                <c:pt idx="7">
                  <c:v>11.10272610194351</c:v>
                </c:pt>
                <c:pt idx="8">
                  <c:v>10.488132476862031</c:v>
                </c:pt>
                <c:pt idx="9">
                  <c:v>11.680796527976401</c:v>
                </c:pt>
                <c:pt idx="10">
                  <c:v>16.770396852400001</c:v>
                </c:pt>
                <c:pt idx="11">
                  <c:v>12.8854970932986</c:v>
                </c:pt>
                <c:pt idx="12">
                  <c:v>13.034743166029802</c:v>
                </c:pt>
                <c:pt idx="13">
                  <c:v>15.709074497284798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F6-F247-8634-F0DDF3DA291B}"/>
            </c:ext>
          </c:extLst>
        </c:ser>
        <c:ser>
          <c:idx val="0"/>
          <c:order val="1"/>
          <c:tx>
            <c:v>Control group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trendline>
            <c:spPr>
              <a:ln w="12700" cap="rnd">
                <a:solidFill>
                  <a:srgbClr val="92D050"/>
                </a:solidFill>
                <a:prstDash val="lg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1726354937648867"/>
                  <c:y val="-1.63192215911554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92D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'brut-analyse'!$BU$12:$BU$18</c:f>
              <c:numCache>
                <c:formatCode>General</c:formatCode>
                <c:ptCount val="7"/>
                <c:pt idx="0">
                  <c:v>2.6666666666666599</c:v>
                </c:pt>
                <c:pt idx="1">
                  <c:v>3.6666666666666599</c:v>
                </c:pt>
                <c:pt idx="2">
                  <c:v>2.5</c:v>
                </c:pt>
                <c:pt idx="3">
                  <c:v>2.8333333333333299</c:v>
                </c:pt>
                <c:pt idx="4">
                  <c:v>3.3333333333333299</c:v>
                </c:pt>
                <c:pt idx="5">
                  <c:v>1.4166666666666601</c:v>
                </c:pt>
                <c:pt idx="6">
                  <c:v>1.75</c:v>
                </c:pt>
              </c:numCache>
            </c:numRef>
          </c:xVal>
          <c:yVal>
            <c:numRef>
              <c:f>'brut-analyse'!$BX$12:$BX$18</c:f>
              <c:numCache>
                <c:formatCode>General</c:formatCode>
                <c:ptCount val="7"/>
                <c:pt idx="0">
                  <c:v>11.084673643045587</c:v>
                </c:pt>
                <c:pt idx="1">
                  <c:v>7.2844598294100233</c:v>
                </c:pt>
                <c:pt idx="2">
                  <c:v>14.223496532527994</c:v>
                </c:pt>
                <c:pt idx="3">
                  <c:v>7.5696495059051916</c:v>
                </c:pt>
                <c:pt idx="4">
                  <c:v>7.002228021496772</c:v>
                </c:pt>
                <c:pt idx="5">
                  <c:v>5.4483092308537202</c:v>
                </c:pt>
                <c:pt idx="6">
                  <c:v>10.292611503633575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EA-4B42-9D70-C8FEFCB96746}"/>
            </c:ext>
          </c:extLst>
        </c:ser>
        <c:ser>
          <c:idx val="1"/>
          <c:order val="2"/>
          <c:tx>
            <c:v>LH group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rgbClr val="FF0000"/>
                </a:solidFill>
                <a:prstDash val="dash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752799871486278"/>
                  <c:y val="-0.223858109737600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'brut-analyse'!$CB$12:$CB$18</c:f>
              <c:numCache>
                <c:formatCode>General</c:formatCode>
                <c:ptCount val="7"/>
                <c:pt idx="0">
                  <c:v>1.9166666666666601</c:v>
                </c:pt>
                <c:pt idx="1">
                  <c:v>3.8333333333333299</c:v>
                </c:pt>
                <c:pt idx="2">
                  <c:v>2.5</c:v>
                </c:pt>
                <c:pt idx="3">
                  <c:v>2.25</c:v>
                </c:pt>
                <c:pt idx="4">
                  <c:v>4.5</c:v>
                </c:pt>
                <c:pt idx="5">
                  <c:v>2.25</c:v>
                </c:pt>
                <c:pt idx="6">
                  <c:v>2</c:v>
                </c:pt>
              </c:numCache>
            </c:numRef>
          </c:xVal>
          <c:yVal>
            <c:numRef>
              <c:f>'brut-analyse'!$BY$12:$BY$18</c:f>
              <c:numCache>
                <c:formatCode>General</c:formatCode>
                <c:ptCount val="7"/>
                <c:pt idx="0">
                  <c:v>11.10272610194351</c:v>
                </c:pt>
                <c:pt idx="1">
                  <c:v>10.488132476862031</c:v>
                </c:pt>
                <c:pt idx="2">
                  <c:v>11.680796527976401</c:v>
                </c:pt>
                <c:pt idx="3">
                  <c:v>16.770396852400001</c:v>
                </c:pt>
                <c:pt idx="4">
                  <c:v>12.8854970932986</c:v>
                </c:pt>
                <c:pt idx="5">
                  <c:v>13.034743166029802</c:v>
                </c:pt>
                <c:pt idx="6">
                  <c:v>15.709074497284798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FEA-4B42-9D70-C8FEFCB96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261296"/>
        <c:axId val="388361024"/>
      </c:scatterChart>
      <c:valAx>
        <c:axId val="388261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E score</a:t>
                </a:r>
              </a:p>
            </c:rich>
          </c:tx>
          <c:layout>
            <c:manualLayout>
              <c:xMode val="edge"/>
              <c:yMode val="edge"/>
              <c:x val="0.36498719414415737"/>
              <c:y val="0.870624135375944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361024"/>
        <c:crosses val="autoZero"/>
        <c:crossBetween val="midCat"/>
      </c:valAx>
      <c:valAx>
        <c:axId val="388361024"/>
        <c:scaling>
          <c:orientation val="minMax"/>
          <c:min val="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Time to answer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261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Control vs LH for </a:t>
            </a:r>
            <a:r>
              <a:rPr lang="fr-FR" sz="1400" b="0" i="0" u="none" strike="noStrike" baseline="0">
                <a:effectLst/>
              </a:rPr>
              <a:t>agreeableness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All subjects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name>All subjects</c:nam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2189054337251343"/>
                  <c:y val="-5.754636355240609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('brut-analyse'!$BV$12:$BV$18,'brut-analyse'!$CC$12:$CC$18)</c:f>
              <c:numCache>
                <c:formatCode>General</c:formatCode>
                <c:ptCount val="14"/>
                <c:pt idx="0">
                  <c:v>3.5416666666666599</c:v>
                </c:pt>
                <c:pt idx="1">
                  <c:v>3.75</c:v>
                </c:pt>
                <c:pt idx="2">
                  <c:v>3.9583333333333299</c:v>
                </c:pt>
                <c:pt idx="3">
                  <c:v>4.1666666666666599</c:v>
                </c:pt>
                <c:pt idx="4">
                  <c:v>3.6111111111111098</c:v>
                </c:pt>
                <c:pt idx="5">
                  <c:v>2.5</c:v>
                </c:pt>
                <c:pt idx="6">
                  <c:v>3.3333333333333299</c:v>
                </c:pt>
                <c:pt idx="7" formatCode="0.00">
                  <c:v>2.9861111111111098</c:v>
                </c:pt>
                <c:pt idx="8">
                  <c:v>3.8194444444444402</c:v>
                </c:pt>
                <c:pt idx="9">
                  <c:v>3.3333333333333299</c:v>
                </c:pt>
                <c:pt idx="10">
                  <c:v>2.63888888888888</c:v>
                </c:pt>
                <c:pt idx="11">
                  <c:v>4.2361111111111098</c:v>
                </c:pt>
                <c:pt idx="12">
                  <c:v>2.2222222222222201</c:v>
                </c:pt>
                <c:pt idx="13">
                  <c:v>2.43055555555555</c:v>
                </c:pt>
              </c:numCache>
            </c:numRef>
          </c:xVal>
          <c:yVal>
            <c:numRef>
              <c:f>('brut-analyse'!$BX$12:$BX$18,'brut-analyse'!$BY$12:$BY$18)</c:f>
              <c:numCache>
                <c:formatCode>General</c:formatCode>
                <c:ptCount val="14"/>
                <c:pt idx="0">
                  <c:v>11.084673643045587</c:v>
                </c:pt>
                <c:pt idx="1">
                  <c:v>7.2844598294100233</c:v>
                </c:pt>
                <c:pt idx="2">
                  <c:v>14.223496532527994</c:v>
                </c:pt>
                <c:pt idx="3">
                  <c:v>7.5696495059051916</c:v>
                </c:pt>
                <c:pt idx="4">
                  <c:v>7.002228021496772</c:v>
                </c:pt>
                <c:pt idx="5">
                  <c:v>5.4483092308537202</c:v>
                </c:pt>
                <c:pt idx="6">
                  <c:v>10.292611503633575</c:v>
                </c:pt>
                <c:pt idx="7">
                  <c:v>11.10272610194351</c:v>
                </c:pt>
                <c:pt idx="8">
                  <c:v>10.488132476862031</c:v>
                </c:pt>
                <c:pt idx="9">
                  <c:v>11.680796527976401</c:v>
                </c:pt>
                <c:pt idx="10">
                  <c:v>16.770396852400001</c:v>
                </c:pt>
                <c:pt idx="11">
                  <c:v>12.8854970932986</c:v>
                </c:pt>
                <c:pt idx="12">
                  <c:v>13.034743166029802</c:v>
                </c:pt>
                <c:pt idx="13">
                  <c:v>15.709074497284798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61-8B4F-9B18-45296CD1DCFC}"/>
            </c:ext>
          </c:extLst>
        </c:ser>
        <c:ser>
          <c:idx val="0"/>
          <c:order val="1"/>
          <c:tx>
            <c:v>Control group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trendline>
            <c:spPr>
              <a:ln w="12700" cap="rnd">
                <a:solidFill>
                  <a:srgbClr val="92D050"/>
                </a:solidFill>
                <a:prstDash val="lg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1181503791349962"/>
                  <c:y val="0.154696164992824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92D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'brut-analyse'!$BV$12:$BV$18</c:f>
              <c:numCache>
                <c:formatCode>General</c:formatCode>
                <c:ptCount val="7"/>
                <c:pt idx="0">
                  <c:v>3.5416666666666599</c:v>
                </c:pt>
                <c:pt idx="1">
                  <c:v>3.75</c:v>
                </c:pt>
                <c:pt idx="2">
                  <c:v>3.9583333333333299</c:v>
                </c:pt>
                <c:pt idx="3">
                  <c:v>4.1666666666666599</c:v>
                </c:pt>
                <c:pt idx="4">
                  <c:v>3.6111111111111098</c:v>
                </c:pt>
                <c:pt idx="5">
                  <c:v>2.5</c:v>
                </c:pt>
                <c:pt idx="6">
                  <c:v>3.3333333333333299</c:v>
                </c:pt>
              </c:numCache>
            </c:numRef>
          </c:xVal>
          <c:yVal>
            <c:numRef>
              <c:f>'brut-analyse'!$BX$12:$BX$18</c:f>
              <c:numCache>
                <c:formatCode>General</c:formatCode>
                <c:ptCount val="7"/>
                <c:pt idx="0">
                  <c:v>11.084673643045587</c:v>
                </c:pt>
                <c:pt idx="1">
                  <c:v>7.2844598294100233</c:v>
                </c:pt>
                <c:pt idx="2">
                  <c:v>14.223496532527994</c:v>
                </c:pt>
                <c:pt idx="3">
                  <c:v>7.5696495059051916</c:v>
                </c:pt>
                <c:pt idx="4">
                  <c:v>7.002228021496772</c:v>
                </c:pt>
                <c:pt idx="5">
                  <c:v>5.4483092308537202</c:v>
                </c:pt>
                <c:pt idx="6">
                  <c:v>10.292611503633575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CF-E145-A14D-7AC3C1C2464B}"/>
            </c:ext>
          </c:extLst>
        </c:ser>
        <c:ser>
          <c:idx val="1"/>
          <c:order val="2"/>
          <c:tx>
            <c:v>LH group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rgbClr val="FF0000"/>
                </a:solidFill>
                <a:prstDash val="dash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280771121301983"/>
                  <c:y val="-0.211727114024138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'brut-analyse'!$CC$12:$CC$18</c:f>
              <c:numCache>
                <c:formatCode>General</c:formatCode>
                <c:ptCount val="7"/>
                <c:pt idx="0" formatCode="0.00">
                  <c:v>2.9861111111111098</c:v>
                </c:pt>
                <c:pt idx="1">
                  <c:v>3.8194444444444402</c:v>
                </c:pt>
                <c:pt idx="2">
                  <c:v>3.3333333333333299</c:v>
                </c:pt>
                <c:pt idx="3">
                  <c:v>2.63888888888888</c:v>
                </c:pt>
                <c:pt idx="4">
                  <c:v>4.2361111111111098</c:v>
                </c:pt>
                <c:pt idx="5">
                  <c:v>2.2222222222222201</c:v>
                </c:pt>
                <c:pt idx="6">
                  <c:v>2.43055555555555</c:v>
                </c:pt>
              </c:numCache>
            </c:numRef>
          </c:xVal>
          <c:yVal>
            <c:numRef>
              <c:f>'brut-analyse'!$BY$12:$BY$18</c:f>
              <c:numCache>
                <c:formatCode>General</c:formatCode>
                <c:ptCount val="7"/>
                <c:pt idx="0">
                  <c:v>11.10272610194351</c:v>
                </c:pt>
                <c:pt idx="1">
                  <c:v>10.488132476862031</c:v>
                </c:pt>
                <c:pt idx="2">
                  <c:v>11.680796527976401</c:v>
                </c:pt>
                <c:pt idx="3">
                  <c:v>16.770396852400001</c:v>
                </c:pt>
                <c:pt idx="4">
                  <c:v>12.8854970932986</c:v>
                </c:pt>
                <c:pt idx="5">
                  <c:v>13.034743166029802</c:v>
                </c:pt>
                <c:pt idx="6">
                  <c:v>15.709074497284798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CF-E145-A14D-7AC3C1C24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261296"/>
        <c:axId val="388361024"/>
      </c:scatterChart>
      <c:valAx>
        <c:axId val="388261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 score</a:t>
                </a:r>
              </a:p>
            </c:rich>
          </c:tx>
          <c:layout>
            <c:manualLayout>
              <c:xMode val="edge"/>
              <c:yMode val="edge"/>
              <c:x val="0.36521202652729817"/>
              <c:y val="0.870613972605341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361024"/>
        <c:crosses val="autoZero"/>
        <c:crossBetween val="midCat"/>
      </c:valAx>
      <c:valAx>
        <c:axId val="388361024"/>
        <c:scaling>
          <c:orientation val="minMax"/>
          <c:min val="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Time to answer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261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36334294867765"/>
          <c:y val="9.5605481667729544E-2"/>
          <c:w val="0.81414231721270924"/>
          <c:h val="0.70227979820683273"/>
        </c:manualLayout>
      </c:layout>
      <c:scatterChart>
        <c:scatterStyle val="lineMarker"/>
        <c:varyColors val="0"/>
        <c:ser>
          <c:idx val="2"/>
          <c:order val="0"/>
          <c:tx>
            <c:v>All subjects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name>All subjects</c:nam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66480718943904804"/>
                  <c:y val="-0.121710402500153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('brut-analyse'!$BS$12:$BS$18,'brut-analyse'!$BZ$12:$BZ$18)</c:f>
              <c:numCache>
                <c:formatCode>General</c:formatCode>
                <c:ptCount val="14"/>
                <c:pt idx="0">
                  <c:v>3.88888888888888</c:v>
                </c:pt>
                <c:pt idx="1">
                  <c:v>3.3333333333333299</c:v>
                </c:pt>
                <c:pt idx="2">
                  <c:v>4.1666666666666599</c:v>
                </c:pt>
                <c:pt idx="3">
                  <c:v>5</c:v>
                </c:pt>
                <c:pt idx="4">
                  <c:v>3.88888888888888</c:v>
                </c:pt>
                <c:pt idx="5">
                  <c:v>3.05555555555555</c:v>
                </c:pt>
                <c:pt idx="6">
                  <c:v>3.88888888888888</c:v>
                </c:pt>
                <c:pt idx="7">
                  <c:v>4.4444444444444402</c:v>
                </c:pt>
                <c:pt idx="8">
                  <c:v>3.6111111111111098</c:v>
                </c:pt>
                <c:pt idx="9">
                  <c:v>2.3611111111111098</c:v>
                </c:pt>
                <c:pt idx="10">
                  <c:v>3.1944444444444402</c:v>
                </c:pt>
                <c:pt idx="11">
                  <c:v>4.5833333333333304</c:v>
                </c:pt>
                <c:pt idx="12">
                  <c:v>2.2222222222222201</c:v>
                </c:pt>
                <c:pt idx="13">
                  <c:v>2.2222222222222201</c:v>
                </c:pt>
              </c:numCache>
            </c:numRef>
          </c:xVal>
          <c:yVal>
            <c:numRef>
              <c:f>('brut-analyse'!$BX$12:$BX$18,'brut-analyse'!$BY$12:$BY$18)</c:f>
              <c:numCache>
                <c:formatCode>General</c:formatCode>
                <c:ptCount val="14"/>
                <c:pt idx="0">
                  <c:v>11.084673643045587</c:v>
                </c:pt>
                <c:pt idx="1">
                  <c:v>7.2844598294100233</c:v>
                </c:pt>
                <c:pt idx="2">
                  <c:v>14.223496532527994</c:v>
                </c:pt>
                <c:pt idx="3">
                  <c:v>7.5696495059051916</c:v>
                </c:pt>
                <c:pt idx="4">
                  <c:v>7.002228021496772</c:v>
                </c:pt>
                <c:pt idx="5">
                  <c:v>5.4483092308537202</c:v>
                </c:pt>
                <c:pt idx="6">
                  <c:v>10.292611503633575</c:v>
                </c:pt>
                <c:pt idx="7">
                  <c:v>11.10272610194351</c:v>
                </c:pt>
                <c:pt idx="8">
                  <c:v>10.488132476862031</c:v>
                </c:pt>
                <c:pt idx="9">
                  <c:v>11.680796527976401</c:v>
                </c:pt>
                <c:pt idx="10">
                  <c:v>16.770396852400001</c:v>
                </c:pt>
                <c:pt idx="11">
                  <c:v>12.8854970932986</c:v>
                </c:pt>
                <c:pt idx="12">
                  <c:v>13.034743166029802</c:v>
                </c:pt>
                <c:pt idx="13">
                  <c:v>15.709074497284798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B4-B94A-8125-BFD10465DD06}"/>
            </c:ext>
          </c:extLst>
        </c:ser>
        <c:ser>
          <c:idx val="0"/>
          <c:order val="1"/>
          <c:tx>
            <c:v>Control group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trendline>
            <c:spPr>
              <a:ln w="12700" cap="rnd">
                <a:solidFill>
                  <a:srgbClr val="92D050"/>
                </a:solidFill>
                <a:prstDash val="lg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66480718943904804"/>
                  <c:y val="0.171353557818015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92D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'brut-analyse'!$BS$12:$BS$18</c:f>
              <c:numCache>
                <c:formatCode>General</c:formatCode>
                <c:ptCount val="7"/>
                <c:pt idx="0">
                  <c:v>3.88888888888888</c:v>
                </c:pt>
                <c:pt idx="1">
                  <c:v>3.3333333333333299</c:v>
                </c:pt>
                <c:pt idx="2">
                  <c:v>4.1666666666666599</c:v>
                </c:pt>
                <c:pt idx="3">
                  <c:v>5</c:v>
                </c:pt>
                <c:pt idx="4">
                  <c:v>3.88888888888888</c:v>
                </c:pt>
                <c:pt idx="5">
                  <c:v>3.05555555555555</c:v>
                </c:pt>
                <c:pt idx="6">
                  <c:v>3.88888888888888</c:v>
                </c:pt>
              </c:numCache>
            </c:numRef>
          </c:xVal>
          <c:yVal>
            <c:numRef>
              <c:f>'brut-analyse'!$BX$12:$BX$18</c:f>
              <c:numCache>
                <c:formatCode>General</c:formatCode>
                <c:ptCount val="7"/>
                <c:pt idx="0">
                  <c:v>11.084673643045587</c:v>
                </c:pt>
                <c:pt idx="1">
                  <c:v>7.2844598294100233</c:v>
                </c:pt>
                <c:pt idx="2">
                  <c:v>14.223496532527994</c:v>
                </c:pt>
                <c:pt idx="3">
                  <c:v>7.5696495059051916</c:v>
                </c:pt>
                <c:pt idx="4">
                  <c:v>7.002228021496772</c:v>
                </c:pt>
                <c:pt idx="5">
                  <c:v>5.4483092308537202</c:v>
                </c:pt>
                <c:pt idx="6">
                  <c:v>10.292611503633575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3B4-B94A-8125-BFD10465DD06}"/>
            </c:ext>
          </c:extLst>
        </c:ser>
        <c:ser>
          <c:idx val="1"/>
          <c:order val="2"/>
          <c:tx>
            <c:v>LH group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rgbClr val="FF0000"/>
                </a:solidFill>
                <a:prstDash val="dash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60797491136554505"/>
                  <c:y val="-0.197444856572061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'brut-analyse'!$BZ$12:$BZ$18</c:f>
              <c:numCache>
                <c:formatCode>General</c:formatCode>
                <c:ptCount val="7"/>
                <c:pt idx="0">
                  <c:v>4.4444444444444402</c:v>
                </c:pt>
                <c:pt idx="1">
                  <c:v>3.6111111111111098</c:v>
                </c:pt>
                <c:pt idx="2">
                  <c:v>2.3611111111111098</c:v>
                </c:pt>
                <c:pt idx="3">
                  <c:v>3.1944444444444402</c:v>
                </c:pt>
                <c:pt idx="4">
                  <c:v>4.5833333333333304</c:v>
                </c:pt>
                <c:pt idx="5">
                  <c:v>2.2222222222222201</c:v>
                </c:pt>
                <c:pt idx="6">
                  <c:v>2.2222222222222201</c:v>
                </c:pt>
              </c:numCache>
            </c:numRef>
          </c:xVal>
          <c:yVal>
            <c:numRef>
              <c:f>'brut-analyse'!$BY$12:$BY$18</c:f>
              <c:numCache>
                <c:formatCode>General</c:formatCode>
                <c:ptCount val="7"/>
                <c:pt idx="0">
                  <c:v>11.10272610194351</c:v>
                </c:pt>
                <c:pt idx="1">
                  <c:v>10.488132476862031</c:v>
                </c:pt>
                <c:pt idx="2">
                  <c:v>11.680796527976401</c:v>
                </c:pt>
                <c:pt idx="3">
                  <c:v>16.770396852400001</c:v>
                </c:pt>
                <c:pt idx="4">
                  <c:v>12.8854970932986</c:v>
                </c:pt>
                <c:pt idx="5">
                  <c:v>13.034743166029802</c:v>
                </c:pt>
                <c:pt idx="6">
                  <c:v>15.709074497284798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3B4-B94A-8125-BFD10465D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261296"/>
        <c:axId val="388361024"/>
      </c:scatterChart>
      <c:valAx>
        <c:axId val="388261296"/>
        <c:scaling>
          <c:orientation val="minMax"/>
          <c:max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800"/>
                  <a:t>Score d'Ouverture</a:t>
                </a:r>
                <a:r>
                  <a:rPr lang="fr-FR" sz="1800" baseline="0"/>
                  <a:t> d'esprit</a:t>
                </a:r>
                <a:endParaRPr lang="fr-FR" sz="1800"/>
              </a:p>
            </c:rich>
          </c:tx>
          <c:layout>
            <c:manualLayout>
              <c:xMode val="edge"/>
              <c:yMode val="edge"/>
              <c:x val="0.22824549548421463"/>
              <c:y val="0.882825626415369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361024"/>
        <c:crosses val="autoZero"/>
        <c:crossBetween val="midCat"/>
      </c:valAx>
      <c:valAx>
        <c:axId val="388361024"/>
        <c:scaling>
          <c:orientation val="minMax"/>
          <c:min val="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Temps de réponse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261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All subjects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name>All subjects</c:nam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787277254730384"/>
                  <c:y val="3.85581432517963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('brut-analyse'!$BT$12:$BT$18,'brut-analyse'!$CA$12:$CA$18)</c:f>
              <c:numCache>
                <c:formatCode>General</c:formatCode>
                <c:ptCount val="14"/>
                <c:pt idx="0">
                  <c:v>3.75</c:v>
                </c:pt>
                <c:pt idx="1">
                  <c:v>2.7631578947368398</c:v>
                </c:pt>
                <c:pt idx="2">
                  <c:v>3.9473684210526301</c:v>
                </c:pt>
                <c:pt idx="3">
                  <c:v>2.6973684210526301</c:v>
                </c:pt>
                <c:pt idx="4">
                  <c:v>3.1578947368421</c:v>
                </c:pt>
                <c:pt idx="5">
                  <c:v>2.5657894736842102</c:v>
                </c:pt>
                <c:pt idx="6">
                  <c:v>3.48684210526315</c:v>
                </c:pt>
                <c:pt idx="7">
                  <c:v>2.6973684210526301</c:v>
                </c:pt>
                <c:pt idx="8">
                  <c:v>3.1578947368421</c:v>
                </c:pt>
                <c:pt idx="9">
                  <c:v>3.0263157894736801</c:v>
                </c:pt>
                <c:pt idx="10">
                  <c:v>3.2894736842105199</c:v>
                </c:pt>
                <c:pt idx="11">
                  <c:v>3.6184210526315699</c:v>
                </c:pt>
                <c:pt idx="12">
                  <c:v>3.75</c:v>
                </c:pt>
                <c:pt idx="13">
                  <c:v>1.6447368421052599</c:v>
                </c:pt>
              </c:numCache>
            </c:numRef>
          </c:xVal>
          <c:yVal>
            <c:numRef>
              <c:f>('brut-analyse'!$BX$12:$BX$18,'brut-analyse'!$BY$12:$BY$18)</c:f>
              <c:numCache>
                <c:formatCode>General</c:formatCode>
                <c:ptCount val="14"/>
                <c:pt idx="0">
                  <c:v>11.084673643045587</c:v>
                </c:pt>
                <c:pt idx="1">
                  <c:v>7.2844598294100233</c:v>
                </c:pt>
                <c:pt idx="2">
                  <c:v>14.223496532527994</c:v>
                </c:pt>
                <c:pt idx="3">
                  <c:v>7.5696495059051916</c:v>
                </c:pt>
                <c:pt idx="4">
                  <c:v>7.002228021496772</c:v>
                </c:pt>
                <c:pt idx="5">
                  <c:v>5.4483092308537202</c:v>
                </c:pt>
                <c:pt idx="6">
                  <c:v>10.292611503633575</c:v>
                </c:pt>
                <c:pt idx="7">
                  <c:v>11.10272610194351</c:v>
                </c:pt>
                <c:pt idx="8">
                  <c:v>10.488132476862031</c:v>
                </c:pt>
                <c:pt idx="9">
                  <c:v>11.680796527976401</c:v>
                </c:pt>
                <c:pt idx="10">
                  <c:v>16.770396852400001</c:v>
                </c:pt>
                <c:pt idx="11">
                  <c:v>12.8854970932986</c:v>
                </c:pt>
                <c:pt idx="12">
                  <c:v>13.034743166029802</c:v>
                </c:pt>
                <c:pt idx="13">
                  <c:v>15.709074497284798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66-F049-9C90-840A6E5B88AC}"/>
            </c:ext>
          </c:extLst>
        </c:ser>
        <c:ser>
          <c:idx val="0"/>
          <c:order val="1"/>
          <c:tx>
            <c:v>Control group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trendline>
            <c:spPr>
              <a:ln w="12700" cap="rnd">
                <a:solidFill>
                  <a:srgbClr val="92D050"/>
                </a:solidFill>
                <a:prstDash val="lg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865817670183866"/>
                  <c:y val="0.294150039444811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92D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'brut-analyse'!$BT$12:$BT$18</c:f>
              <c:numCache>
                <c:formatCode>General</c:formatCode>
                <c:ptCount val="7"/>
                <c:pt idx="0">
                  <c:v>3.75</c:v>
                </c:pt>
                <c:pt idx="1">
                  <c:v>2.7631578947368398</c:v>
                </c:pt>
                <c:pt idx="2">
                  <c:v>3.9473684210526301</c:v>
                </c:pt>
                <c:pt idx="3">
                  <c:v>2.6973684210526301</c:v>
                </c:pt>
                <c:pt idx="4">
                  <c:v>3.1578947368421</c:v>
                </c:pt>
                <c:pt idx="5">
                  <c:v>2.5657894736842102</c:v>
                </c:pt>
                <c:pt idx="6">
                  <c:v>3.48684210526315</c:v>
                </c:pt>
              </c:numCache>
            </c:numRef>
          </c:xVal>
          <c:yVal>
            <c:numRef>
              <c:f>'brut-analyse'!$BX$12:$BX$18</c:f>
              <c:numCache>
                <c:formatCode>General</c:formatCode>
                <c:ptCount val="7"/>
                <c:pt idx="0">
                  <c:v>11.084673643045587</c:v>
                </c:pt>
                <c:pt idx="1">
                  <c:v>7.2844598294100233</c:v>
                </c:pt>
                <c:pt idx="2">
                  <c:v>14.223496532527994</c:v>
                </c:pt>
                <c:pt idx="3">
                  <c:v>7.5696495059051916</c:v>
                </c:pt>
                <c:pt idx="4">
                  <c:v>7.002228021496772</c:v>
                </c:pt>
                <c:pt idx="5">
                  <c:v>5.4483092308537202</c:v>
                </c:pt>
                <c:pt idx="6">
                  <c:v>10.292611503633575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F66-F049-9C90-840A6E5B88AC}"/>
            </c:ext>
          </c:extLst>
        </c:ser>
        <c:ser>
          <c:idx val="1"/>
          <c:order val="2"/>
          <c:tx>
            <c:v>LH group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rgbClr val="FF0000"/>
                </a:solidFill>
                <a:prstDash val="dash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4246352622168926"/>
                  <c:y val="-0.157104804743787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'brut-analyse'!$CA$12:$CA$18</c:f>
              <c:numCache>
                <c:formatCode>General</c:formatCode>
                <c:ptCount val="7"/>
                <c:pt idx="0">
                  <c:v>2.6973684210526301</c:v>
                </c:pt>
                <c:pt idx="1">
                  <c:v>3.1578947368421</c:v>
                </c:pt>
                <c:pt idx="2">
                  <c:v>3.0263157894736801</c:v>
                </c:pt>
                <c:pt idx="3">
                  <c:v>3.2894736842105199</c:v>
                </c:pt>
                <c:pt idx="4">
                  <c:v>3.6184210526315699</c:v>
                </c:pt>
                <c:pt idx="5">
                  <c:v>3.75</c:v>
                </c:pt>
                <c:pt idx="6">
                  <c:v>1.6447368421052599</c:v>
                </c:pt>
              </c:numCache>
            </c:numRef>
          </c:xVal>
          <c:yVal>
            <c:numRef>
              <c:f>'brut-analyse'!$BY$12:$BY$18</c:f>
              <c:numCache>
                <c:formatCode>General</c:formatCode>
                <c:ptCount val="7"/>
                <c:pt idx="0">
                  <c:v>11.10272610194351</c:v>
                </c:pt>
                <c:pt idx="1">
                  <c:v>10.488132476862031</c:v>
                </c:pt>
                <c:pt idx="2">
                  <c:v>11.680796527976401</c:v>
                </c:pt>
                <c:pt idx="3">
                  <c:v>16.770396852400001</c:v>
                </c:pt>
                <c:pt idx="4">
                  <c:v>12.8854970932986</c:v>
                </c:pt>
                <c:pt idx="5">
                  <c:v>13.034743166029802</c:v>
                </c:pt>
                <c:pt idx="6">
                  <c:v>15.709074497284798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F66-F049-9C90-840A6E5B8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261296"/>
        <c:axId val="388361024"/>
      </c:scatterChart>
      <c:valAx>
        <c:axId val="388261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fr-FR" sz="1800">
                    <a:latin typeface="Arial" panose="020B0604020202020204" pitchFamily="34" charset="0"/>
                    <a:cs typeface="Arial" panose="020B0604020202020204" pitchFamily="34" charset="0"/>
                  </a:rPr>
                  <a:t>Score de consciosité</a:t>
                </a:r>
              </a:p>
            </c:rich>
          </c:tx>
          <c:layout>
            <c:manualLayout>
              <c:xMode val="edge"/>
              <c:yMode val="edge"/>
              <c:x val="0.30181235337970169"/>
              <c:y val="0.861382608262205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361024"/>
        <c:crosses val="autoZero"/>
        <c:crossBetween val="midCat"/>
      </c:valAx>
      <c:valAx>
        <c:axId val="388361024"/>
        <c:scaling>
          <c:orientation val="minMax"/>
          <c:min val="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Temps de réponse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261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All subjects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name>All subjects</c:nam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1099611890503265"/>
                  <c:y val="-8.352478558601948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('brut-analyse'!$BU$12:$BU$18,'brut-analyse'!$CB$12:$CB$18)</c:f>
              <c:numCache>
                <c:formatCode>General</c:formatCode>
                <c:ptCount val="14"/>
                <c:pt idx="0">
                  <c:v>2.6666666666666599</c:v>
                </c:pt>
                <c:pt idx="1">
                  <c:v>3.6666666666666599</c:v>
                </c:pt>
                <c:pt idx="2">
                  <c:v>2.5</c:v>
                </c:pt>
                <c:pt idx="3">
                  <c:v>2.8333333333333299</c:v>
                </c:pt>
                <c:pt idx="4">
                  <c:v>3.3333333333333299</c:v>
                </c:pt>
                <c:pt idx="5">
                  <c:v>1.4166666666666601</c:v>
                </c:pt>
                <c:pt idx="6">
                  <c:v>1.75</c:v>
                </c:pt>
                <c:pt idx="7">
                  <c:v>1.9166666666666601</c:v>
                </c:pt>
                <c:pt idx="8">
                  <c:v>3.8333333333333299</c:v>
                </c:pt>
                <c:pt idx="9">
                  <c:v>2.5</c:v>
                </c:pt>
                <c:pt idx="10">
                  <c:v>2.25</c:v>
                </c:pt>
                <c:pt idx="11">
                  <c:v>4.5</c:v>
                </c:pt>
                <c:pt idx="12">
                  <c:v>2.25</c:v>
                </c:pt>
                <c:pt idx="13">
                  <c:v>2</c:v>
                </c:pt>
              </c:numCache>
            </c:numRef>
          </c:xVal>
          <c:yVal>
            <c:numRef>
              <c:f>('brut-analyse'!$BX$12:$BX$18,'brut-analyse'!$BY$12:$BY$18)</c:f>
              <c:numCache>
                <c:formatCode>General</c:formatCode>
                <c:ptCount val="14"/>
                <c:pt idx="0">
                  <c:v>11.084673643045587</c:v>
                </c:pt>
                <c:pt idx="1">
                  <c:v>7.2844598294100233</c:v>
                </c:pt>
                <c:pt idx="2">
                  <c:v>14.223496532527994</c:v>
                </c:pt>
                <c:pt idx="3">
                  <c:v>7.5696495059051916</c:v>
                </c:pt>
                <c:pt idx="4">
                  <c:v>7.002228021496772</c:v>
                </c:pt>
                <c:pt idx="5">
                  <c:v>5.4483092308537202</c:v>
                </c:pt>
                <c:pt idx="6">
                  <c:v>10.292611503633575</c:v>
                </c:pt>
                <c:pt idx="7">
                  <c:v>11.10272610194351</c:v>
                </c:pt>
                <c:pt idx="8">
                  <c:v>10.488132476862031</c:v>
                </c:pt>
                <c:pt idx="9">
                  <c:v>11.680796527976401</c:v>
                </c:pt>
                <c:pt idx="10">
                  <c:v>16.770396852400001</c:v>
                </c:pt>
                <c:pt idx="11">
                  <c:v>12.8854970932986</c:v>
                </c:pt>
                <c:pt idx="12">
                  <c:v>13.034743166029802</c:v>
                </c:pt>
                <c:pt idx="13">
                  <c:v>15.709074497284798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DB-C743-847A-5FD183BFD669}"/>
            </c:ext>
          </c:extLst>
        </c:ser>
        <c:ser>
          <c:idx val="0"/>
          <c:order val="1"/>
          <c:tx>
            <c:v>Control group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trendline>
            <c:spPr>
              <a:ln w="12700" cap="rnd">
                <a:solidFill>
                  <a:srgbClr val="92D050"/>
                </a:solidFill>
                <a:prstDash val="lg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1726354937648867"/>
                  <c:y val="-1.63192215911554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92D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'brut-analyse'!$BU$12:$BU$18</c:f>
              <c:numCache>
                <c:formatCode>General</c:formatCode>
                <c:ptCount val="7"/>
                <c:pt idx="0">
                  <c:v>2.6666666666666599</c:v>
                </c:pt>
                <c:pt idx="1">
                  <c:v>3.6666666666666599</c:v>
                </c:pt>
                <c:pt idx="2">
                  <c:v>2.5</c:v>
                </c:pt>
                <c:pt idx="3">
                  <c:v>2.8333333333333299</c:v>
                </c:pt>
                <c:pt idx="4">
                  <c:v>3.3333333333333299</c:v>
                </c:pt>
                <c:pt idx="5">
                  <c:v>1.4166666666666601</c:v>
                </c:pt>
                <c:pt idx="6">
                  <c:v>1.75</c:v>
                </c:pt>
              </c:numCache>
            </c:numRef>
          </c:xVal>
          <c:yVal>
            <c:numRef>
              <c:f>'brut-analyse'!$BX$12:$BX$18</c:f>
              <c:numCache>
                <c:formatCode>General</c:formatCode>
                <c:ptCount val="7"/>
                <c:pt idx="0">
                  <c:v>11.084673643045587</c:v>
                </c:pt>
                <c:pt idx="1">
                  <c:v>7.2844598294100233</c:v>
                </c:pt>
                <c:pt idx="2">
                  <c:v>14.223496532527994</c:v>
                </c:pt>
                <c:pt idx="3">
                  <c:v>7.5696495059051916</c:v>
                </c:pt>
                <c:pt idx="4">
                  <c:v>7.002228021496772</c:v>
                </c:pt>
                <c:pt idx="5">
                  <c:v>5.4483092308537202</c:v>
                </c:pt>
                <c:pt idx="6">
                  <c:v>10.292611503633575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DB-C743-847A-5FD183BFD669}"/>
            </c:ext>
          </c:extLst>
        </c:ser>
        <c:ser>
          <c:idx val="1"/>
          <c:order val="2"/>
          <c:tx>
            <c:v>LH group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rgbClr val="FF0000"/>
                </a:solidFill>
                <a:prstDash val="dash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752799871486278"/>
                  <c:y val="-0.223858109737600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'brut-analyse'!$CB$12:$CB$18</c:f>
              <c:numCache>
                <c:formatCode>General</c:formatCode>
                <c:ptCount val="7"/>
                <c:pt idx="0">
                  <c:v>1.9166666666666601</c:v>
                </c:pt>
                <c:pt idx="1">
                  <c:v>3.8333333333333299</c:v>
                </c:pt>
                <c:pt idx="2">
                  <c:v>2.5</c:v>
                </c:pt>
                <c:pt idx="3">
                  <c:v>2.25</c:v>
                </c:pt>
                <c:pt idx="4">
                  <c:v>4.5</c:v>
                </c:pt>
                <c:pt idx="5">
                  <c:v>2.25</c:v>
                </c:pt>
                <c:pt idx="6">
                  <c:v>2</c:v>
                </c:pt>
              </c:numCache>
            </c:numRef>
          </c:xVal>
          <c:yVal>
            <c:numRef>
              <c:f>'brut-analyse'!$BY$12:$BY$18</c:f>
              <c:numCache>
                <c:formatCode>General</c:formatCode>
                <c:ptCount val="7"/>
                <c:pt idx="0">
                  <c:v>11.10272610194351</c:v>
                </c:pt>
                <c:pt idx="1">
                  <c:v>10.488132476862031</c:v>
                </c:pt>
                <c:pt idx="2">
                  <c:v>11.680796527976401</c:v>
                </c:pt>
                <c:pt idx="3">
                  <c:v>16.770396852400001</c:v>
                </c:pt>
                <c:pt idx="4">
                  <c:v>12.8854970932986</c:v>
                </c:pt>
                <c:pt idx="5">
                  <c:v>13.034743166029802</c:v>
                </c:pt>
                <c:pt idx="6">
                  <c:v>15.709074497284798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BDB-C743-847A-5FD183BFD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261296"/>
        <c:axId val="388361024"/>
      </c:scatterChart>
      <c:valAx>
        <c:axId val="388261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800"/>
                  <a:t>Score d'Extraversion</a:t>
                </a:r>
              </a:p>
            </c:rich>
          </c:tx>
          <c:layout>
            <c:manualLayout>
              <c:xMode val="edge"/>
              <c:yMode val="edge"/>
              <c:x val="0.36498719414415737"/>
              <c:y val="0.870624135375944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361024"/>
        <c:crosses val="autoZero"/>
        <c:crossBetween val="midCat"/>
      </c:valAx>
      <c:valAx>
        <c:axId val="388361024"/>
        <c:scaling>
          <c:orientation val="minMax"/>
          <c:min val="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Temps de réponse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261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All subjects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name>All subjects</c:nam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2189054337251343"/>
                  <c:y val="-5.754636355240609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('brut-analyse'!$BV$12:$BV$18,'brut-analyse'!$CC$12:$CC$18)</c:f>
              <c:numCache>
                <c:formatCode>General</c:formatCode>
                <c:ptCount val="14"/>
                <c:pt idx="0">
                  <c:v>3.5416666666666599</c:v>
                </c:pt>
                <c:pt idx="1">
                  <c:v>3.75</c:v>
                </c:pt>
                <c:pt idx="2">
                  <c:v>3.9583333333333299</c:v>
                </c:pt>
                <c:pt idx="3">
                  <c:v>4.1666666666666599</c:v>
                </c:pt>
                <c:pt idx="4">
                  <c:v>3.6111111111111098</c:v>
                </c:pt>
                <c:pt idx="5">
                  <c:v>2.5</c:v>
                </c:pt>
                <c:pt idx="6">
                  <c:v>3.3333333333333299</c:v>
                </c:pt>
                <c:pt idx="7" formatCode="0.00">
                  <c:v>2.9861111111111098</c:v>
                </c:pt>
                <c:pt idx="8">
                  <c:v>3.8194444444444402</c:v>
                </c:pt>
                <c:pt idx="9">
                  <c:v>3.3333333333333299</c:v>
                </c:pt>
                <c:pt idx="10">
                  <c:v>2.63888888888888</c:v>
                </c:pt>
                <c:pt idx="11">
                  <c:v>4.2361111111111098</c:v>
                </c:pt>
                <c:pt idx="12">
                  <c:v>2.2222222222222201</c:v>
                </c:pt>
                <c:pt idx="13">
                  <c:v>2.43055555555555</c:v>
                </c:pt>
              </c:numCache>
            </c:numRef>
          </c:xVal>
          <c:yVal>
            <c:numRef>
              <c:f>('brut-analyse'!$BX$12:$BX$18,'brut-analyse'!$BY$12:$BY$18)</c:f>
              <c:numCache>
                <c:formatCode>General</c:formatCode>
                <c:ptCount val="14"/>
                <c:pt idx="0">
                  <c:v>11.084673643045587</c:v>
                </c:pt>
                <c:pt idx="1">
                  <c:v>7.2844598294100233</c:v>
                </c:pt>
                <c:pt idx="2">
                  <c:v>14.223496532527994</c:v>
                </c:pt>
                <c:pt idx="3">
                  <c:v>7.5696495059051916</c:v>
                </c:pt>
                <c:pt idx="4">
                  <c:v>7.002228021496772</c:v>
                </c:pt>
                <c:pt idx="5">
                  <c:v>5.4483092308537202</c:v>
                </c:pt>
                <c:pt idx="6">
                  <c:v>10.292611503633575</c:v>
                </c:pt>
                <c:pt idx="7">
                  <c:v>11.10272610194351</c:v>
                </c:pt>
                <c:pt idx="8">
                  <c:v>10.488132476862031</c:v>
                </c:pt>
                <c:pt idx="9">
                  <c:v>11.680796527976401</c:v>
                </c:pt>
                <c:pt idx="10">
                  <c:v>16.770396852400001</c:v>
                </c:pt>
                <c:pt idx="11">
                  <c:v>12.8854970932986</c:v>
                </c:pt>
                <c:pt idx="12">
                  <c:v>13.034743166029802</c:v>
                </c:pt>
                <c:pt idx="13">
                  <c:v>15.709074497284798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F1-F648-8220-A055424103B6}"/>
            </c:ext>
          </c:extLst>
        </c:ser>
        <c:ser>
          <c:idx val="0"/>
          <c:order val="1"/>
          <c:tx>
            <c:v>Control group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trendline>
            <c:spPr>
              <a:ln w="12700" cap="rnd">
                <a:solidFill>
                  <a:srgbClr val="92D050"/>
                </a:solidFill>
                <a:prstDash val="lg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1181503791349962"/>
                  <c:y val="0.154696164992824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92D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'brut-analyse'!$BV$12:$BV$18</c:f>
              <c:numCache>
                <c:formatCode>General</c:formatCode>
                <c:ptCount val="7"/>
                <c:pt idx="0">
                  <c:v>3.5416666666666599</c:v>
                </c:pt>
                <c:pt idx="1">
                  <c:v>3.75</c:v>
                </c:pt>
                <c:pt idx="2">
                  <c:v>3.9583333333333299</c:v>
                </c:pt>
                <c:pt idx="3">
                  <c:v>4.1666666666666599</c:v>
                </c:pt>
                <c:pt idx="4">
                  <c:v>3.6111111111111098</c:v>
                </c:pt>
                <c:pt idx="5">
                  <c:v>2.5</c:v>
                </c:pt>
                <c:pt idx="6">
                  <c:v>3.3333333333333299</c:v>
                </c:pt>
              </c:numCache>
            </c:numRef>
          </c:xVal>
          <c:yVal>
            <c:numRef>
              <c:f>'brut-analyse'!$BX$12:$BX$18</c:f>
              <c:numCache>
                <c:formatCode>General</c:formatCode>
                <c:ptCount val="7"/>
                <c:pt idx="0">
                  <c:v>11.084673643045587</c:v>
                </c:pt>
                <c:pt idx="1">
                  <c:v>7.2844598294100233</c:v>
                </c:pt>
                <c:pt idx="2">
                  <c:v>14.223496532527994</c:v>
                </c:pt>
                <c:pt idx="3">
                  <c:v>7.5696495059051916</c:v>
                </c:pt>
                <c:pt idx="4">
                  <c:v>7.002228021496772</c:v>
                </c:pt>
                <c:pt idx="5">
                  <c:v>5.4483092308537202</c:v>
                </c:pt>
                <c:pt idx="6">
                  <c:v>10.292611503633575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F1-F648-8220-A055424103B6}"/>
            </c:ext>
          </c:extLst>
        </c:ser>
        <c:ser>
          <c:idx val="1"/>
          <c:order val="2"/>
          <c:tx>
            <c:v>LH group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2700" cap="rnd">
                <a:solidFill>
                  <a:srgbClr val="FF0000"/>
                </a:solidFill>
                <a:prstDash val="dash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280771121301983"/>
                  <c:y val="-0.211727114024138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'brut-analyse'!$CC$12:$CC$18</c:f>
              <c:numCache>
                <c:formatCode>General</c:formatCode>
                <c:ptCount val="7"/>
                <c:pt idx="0" formatCode="0.00">
                  <c:v>2.9861111111111098</c:v>
                </c:pt>
                <c:pt idx="1">
                  <c:v>3.8194444444444402</c:v>
                </c:pt>
                <c:pt idx="2">
                  <c:v>3.3333333333333299</c:v>
                </c:pt>
                <c:pt idx="3">
                  <c:v>2.63888888888888</c:v>
                </c:pt>
                <c:pt idx="4">
                  <c:v>4.2361111111111098</c:v>
                </c:pt>
                <c:pt idx="5">
                  <c:v>2.2222222222222201</c:v>
                </c:pt>
                <c:pt idx="6">
                  <c:v>2.43055555555555</c:v>
                </c:pt>
              </c:numCache>
            </c:numRef>
          </c:xVal>
          <c:yVal>
            <c:numRef>
              <c:f>'brut-analyse'!$BY$12:$BY$18</c:f>
              <c:numCache>
                <c:formatCode>General</c:formatCode>
                <c:ptCount val="7"/>
                <c:pt idx="0">
                  <c:v>11.10272610194351</c:v>
                </c:pt>
                <c:pt idx="1">
                  <c:v>10.488132476862031</c:v>
                </c:pt>
                <c:pt idx="2">
                  <c:v>11.680796527976401</c:v>
                </c:pt>
                <c:pt idx="3">
                  <c:v>16.770396852400001</c:v>
                </c:pt>
                <c:pt idx="4">
                  <c:v>12.8854970932986</c:v>
                </c:pt>
                <c:pt idx="5">
                  <c:v>13.034743166029802</c:v>
                </c:pt>
                <c:pt idx="6">
                  <c:v>15.709074497284798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6F1-F648-8220-A05542410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261296"/>
        <c:axId val="388361024"/>
      </c:scatterChart>
      <c:valAx>
        <c:axId val="388261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Score d'Agréabilité</a:t>
                </a:r>
              </a:p>
            </c:rich>
          </c:tx>
          <c:layout>
            <c:manualLayout>
              <c:xMode val="edge"/>
              <c:yMode val="edge"/>
              <c:x val="0.36521202652729817"/>
              <c:y val="0.870613972605341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361024"/>
        <c:crosses val="autoZero"/>
        <c:crossBetween val="midCat"/>
      </c:valAx>
      <c:valAx>
        <c:axId val="388361024"/>
        <c:scaling>
          <c:orientation val="minMax"/>
          <c:min val="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Temps de réponse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261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_xlchart.v1.0</cx:f>
      </cx:numDim>
    </cx:data>
    <cx:data id="1">
      <cx:numDim type="val">
        <cx:f dir="row">_xlchart.v1.1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fr-FR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écart de temps de réponse</a:t>
            </a:r>
            <a:endParaRPr lang="fr-FR"/>
          </a:p>
        </cx:rich>
      </cx:tx>
    </cx:title>
    <cx:plotArea>
      <cx:plotAreaRegion>
        <cx:series layoutId="boxWhisker" uniqueId="{058D147D-578E-2440-83BD-1F09FBFBC8EB}">
          <cx:tx>
            <cx:txData>
              <cx:f/>
              <cx:v>Groupe de contrôle</cx:v>
            </cx:txData>
          </cx:tx>
          <cx:spPr>
            <a:pattFill prst="pct5">
              <a:fgClr>
                <a:schemeClr val="bg1">
                  <a:lumMod val="65000"/>
                </a:schemeClr>
              </a:fgClr>
              <a:bgClr>
                <a:schemeClr val="bg1">
                  <a:lumMod val="85000"/>
                </a:schemeClr>
              </a:bgClr>
            </a:pattFill>
            <a:ln w="6350">
              <a:solidFill>
                <a:schemeClr val="tx1">
                  <a:lumMod val="75000"/>
                  <a:lumOff val="25000"/>
                </a:schemeClr>
              </a:solidFill>
            </a:ln>
          </cx:spPr>
          <cx:dataId val="0"/>
          <cx:layoutPr>
            <cx:visibility nonoutliers="0" outliers="0"/>
            <cx:statistics quartileMethod="exclusive"/>
          </cx:layoutPr>
        </cx:series>
        <cx:series layoutId="boxWhisker" uniqueId="{694F3AB6-1D61-B844-808F-ECD5735295BF}">
          <cx:tx>
            <cx:txData>
              <cx:f/>
              <cx:v>Groupe d'impuissance apprise</cx:v>
            </cx:txData>
          </cx:tx>
          <cx:spPr>
            <a:pattFill prst="dashUpDiag">
              <a:fgClr>
                <a:schemeClr val="tx1">
                  <a:lumMod val="85000"/>
                  <a:lumOff val="15000"/>
                </a:schemeClr>
              </a:fgClr>
              <a:bgClr>
                <a:schemeClr val="bg1">
                  <a:lumMod val="50000"/>
                </a:schemeClr>
              </a:bgClr>
            </a:pattFill>
            <a:ln w="6350">
              <a:solidFill>
                <a:schemeClr val="tx1">
                  <a:lumMod val="75000"/>
                  <a:lumOff val="25000"/>
                </a:schemeClr>
              </a:solidFill>
            </a:ln>
          </cx:spPr>
          <cx:dataId val="1"/>
          <cx:layoutPr>
            <cx:visibility nonoutliers="0"/>
            <cx:statistics quartileMethod="exclusive"/>
          </cx:layoutPr>
        </cx:series>
      </cx:plotAreaRegion>
      <cx:axis id="0" hidden="1">
        <cx:catScaling/>
        <cx:majorGridlines>
          <cx:spPr>
            <a:ln>
              <a:noFill/>
            </a:ln>
          </cx:spPr>
        </cx:majorGridlines>
        <cx:tickLabels/>
      </cx:axis>
      <cx:axis id="1">
        <cx:valScaling/>
        <cx:title>
          <cx:tx>
            <cx:txData>
              <cx:v>Temps de réponse (s)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fr-FR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Temps de réponse (s)</a:t>
              </a:r>
            </a:p>
          </cx:txPr>
        </cx:title>
        <cx:majorGridlines>
          <cx:spPr>
            <a:ln>
              <a:solidFill>
                <a:schemeClr val="bg1">
                  <a:lumMod val="50000"/>
                  <a:alpha val="34056"/>
                </a:schemeClr>
              </a:solidFill>
            </a:ln>
          </cx:spPr>
        </cx:majorGridlines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_xlchart.v1.2</cx:f>
      </cx:numDim>
    </cx:data>
    <cx:data id="1">
      <cx:numDim type="val">
        <cx:f dir="row">_xlchart.v1.3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fr-FR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écart de score</a:t>
            </a:r>
            <a:endParaRPr lang="fr-FR"/>
          </a:p>
        </cx:rich>
      </cx:tx>
    </cx:title>
    <cx:plotArea>
      <cx:plotAreaRegion>
        <cx:series layoutId="boxWhisker" uniqueId="{9A326874-ED51-B642-AB7D-78C86B728B0B}">
          <cx:tx>
            <cx:txData>
              <cx:f/>
              <cx:v>Groupe de contrôle</cx:v>
            </cx:txData>
          </cx:tx>
          <cx:spPr>
            <a:pattFill prst="pct5">
              <a:fgClr>
                <a:schemeClr val="bg1">
                  <a:lumMod val="65000"/>
                </a:schemeClr>
              </a:fgClr>
              <a:bgClr>
                <a:schemeClr val="bg1"/>
              </a:bgClr>
            </a:pattFill>
            <a:ln w="19050">
              <a:solidFill>
                <a:srgbClr val="92D050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97859B62-D376-554B-B886-F000B8225841}">
          <cx:tx>
            <cx:txData>
              <cx:f/>
              <cx:v>Groupe d'impuissance apprise</cx:v>
            </cx:txData>
          </cx:tx>
          <cx:spPr>
            <a:pattFill prst="pct10">
              <a:fgClr>
                <a:schemeClr val="bg1">
                  <a:lumMod val="65000"/>
                </a:schemeClr>
              </a:fgClr>
              <a:bgClr>
                <a:schemeClr val="bg1"/>
              </a:bgClr>
            </a:pattFill>
            <a:ln w="19050">
              <a:solidFill>
                <a:srgbClr val="FF0000"/>
              </a:solidFill>
            </a:ln>
          </cx:spPr>
          <cx:dataId val="1"/>
          <cx:layoutPr>
            <cx:statistics quartileMethod="inclusive"/>
          </cx:layoutPr>
        </cx:series>
      </cx:plotAreaRegion>
      <cx:axis id="0" hidden="1">
        <cx:catScaling/>
        <cx:majorGridlines>
          <cx:spPr>
            <a:ln>
              <a:noFill/>
            </a:ln>
          </cx:spPr>
        </cx:majorGridlines>
        <cx:tickLabels/>
      </cx:axis>
      <cx:axis id="1">
        <cx:valScaling/>
        <cx:title>
          <cx:tx>
            <cx:txData>
              <cx:v>Nombre de bonne réponse pour les mêmes anagrammes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fr-FR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Nombre de bonne réponse pour les mêmes anagrammes</a:t>
              </a:r>
            </a:p>
          </cx:txPr>
        </cx:title>
        <cx:majorGridlines>
          <cx:spPr>
            <a:ln>
              <a:solidFill>
                <a:schemeClr val="bg1">
                  <a:lumMod val="50000"/>
                  <a:alpha val="34056"/>
                </a:schemeClr>
              </a:solidFill>
            </a:ln>
          </cx:spPr>
        </cx:majorGridlines>
        <cx:tickLabels/>
      </cx:axis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_xlchart.v1.4</cx:f>
      </cx:numDim>
    </cx:data>
    <cx:data id="1">
      <cx:numDim type="val">
        <cx:f dir="row">_xlchart.v1.5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fr-FR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écart d'erreurs d'instructions</a:t>
            </a:r>
            <a:endParaRPr lang="fr-FR"/>
          </a:p>
        </cx:rich>
      </cx:tx>
    </cx:title>
    <cx:plotArea>
      <cx:plotAreaRegion>
        <cx:series layoutId="boxWhisker" uniqueId="{1ABC036D-2EFC-3448-9AE1-394E8017B6BD}">
          <cx:tx>
            <cx:txData>
              <cx:f/>
              <cx:v>Groupe de contrôle</cx:v>
            </cx:txData>
          </cx:tx>
          <cx:dataId val="0"/>
          <cx:layoutPr>
            <cx:statistics quartileMethod="exclusive"/>
          </cx:layoutPr>
        </cx:series>
        <cx:series layoutId="boxWhisker" uniqueId="{684952BB-27F6-D045-B2BC-AB4DEC1182C9}">
          <cx:tx>
            <cx:txData>
              <cx:f/>
              <cx:v>Groupe d'impuissance apprise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/>
        <cx:majorGridlines>
          <cx:spPr>
            <a:ln>
              <a:noFill/>
            </a:ln>
          </cx:spPr>
        </cx:majorGridlines>
        <cx:tickLabels/>
      </cx:axis>
      <cx:axis id="1">
        <cx:valScaling/>
        <cx:title>
          <cx:tx>
            <cx:txData>
              <cx:v>Nombre d'erreurs d'instructions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fr-FR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Nombre d'erreurs d'instructions</a:t>
              </a:r>
            </a:p>
          </cx:txPr>
        </cx:title>
        <cx:majorGridlines>
          <cx:spPr>
            <a:ln>
              <a:solidFill>
                <a:schemeClr val="bg1">
                  <a:lumMod val="50000"/>
                  <a:alpha val="34056"/>
                </a:schemeClr>
              </a:solidFill>
            </a:ln>
          </cx:spPr>
        </cx:majorGridlines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13" Type="http://schemas.openxmlformats.org/officeDocument/2006/relationships/chart" Target="../charts/chart11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0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9.xml"/><Relationship Id="rId5" Type="http://schemas.openxmlformats.org/officeDocument/2006/relationships/chart" Target="../charts/chart5.xml"/><Relationship Id="rId15" Type="http://schemas.microsoft.com/office/2014/relationships/chartEx" Target="../charts/chartEx3.xml"/><Relationship Id="rId10" Type="http://schemas.openxmlformats.org/officeDocument/2006/relationships/chart" Target="../charts/chart8.xml"/><Relationship Id="rId4" Type="http://schemas.openxmlformats.org/officeDocument/2006/relationships/chart" Target="../charts/chart4.xml"/><Relationship Id="rId9" Type="http://schemas.microsoft.com/office/2014/relationships/chartEx" Target="../charts/chartEx1.xml"/><Relationship Id="rId1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62</xdr:col>
      <xdr:colOff>224692</xdr:colOff>
      <xdr:row>14</xdr:row>
      <xdr:rowOff>84015</xdr:rowOff>
    </xdr:from>
    <xdr:to>
      <xdr:col>67</xdr:col>
      <xdr:colOff>693615</xdr:colOff>
      <xdr:row>27</xdr:row>
      <xdr:rowOff>111369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FC46FED4-2B52-9D88-2835-3618833A18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62</xdr:col>
      <xdr:colOff>533400</xdr:colOff>
      <xdr:row>28</xdr:row>
      <xdr:rowOff>120650</xdr:rowOff>
    </xdr:from>
    <xdr:to>
      <xdr:col>68</xdr:col>
      <xdr:colOff>139700</xdr:colOff>
      <xdr:row>45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D2F3AA2-EC52-760B-640E-859A09C161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70</xdr:col>
      <xdr:colOff>732918</xdr:colOff>
      <xdr:row>20</xdr:row>
      <xdr:rowOff>116627</xdr:rowOff>
    </xdr:from>
    <xdr:to>
      <xdr:col>81</xdr:col>
      <xdr:colOff>69695</xdr:colOff>
      <xdr:row>59</xdr:row>
      <xdr:rowOff>53910</xdr:rowOff>
    </xdr:to>
    <xdr:grpSp>
      <xdr:nvGrpSpPr>
        <xdr:cNvPr id="10" name="Groupe 9">
          <a:extLst>
            <a:ext uri="{FF2B5EF4-FFF2-40B4-BE49-F238E27FC236}">
              <a16:creationId xmlns:a16="http://schemas.microsoft.com/office/drawing/2014/main" id="{55948EC0-F477-7F81-AB3C-DA0658606F5F}"/>
            </a:ext>
          </a:extLst>
        </xdr:cNvPr>
        <xdr:cNvGrpSpPr/>
      </xdr:nvGrpSpPr>
      <xdr:grpSpPr>
        <a:xfrm>
          <a:off x="80021683" y="4647862"/>
          <a:ext cx="9261592" cy="8356912"/>
          <a:chOff x="78866789" y="4370023"/>
          <a:chExt cx="9193692" cy="8221144"/>
        </a:xfrm>
      </xdr:grpSpPr>
      <xdr:graphicFrame macro="">
        <xdr:nvGraphicFramePr>
          <xdr:cNvPr id="2" name="Graphique 1">
            <a:extLst>
              <a:ext uri="{FF2B5EF4-FFF2-40B4-BE49-F238E27FC236}">
                <a16:creationId xmlns:a16="http://schemas.microsoft.com/office/drawing/2014/main" id="{C27DD490-041F-2866-0E20-AA0986B78AE0}"/>
              </a:ext>
            </a:extLst>
          </xdr:cNvPr>
          <xdr:cNvGraphicFramePr/>
        </xdr:nvGraphicFramePr>
        <xdr:xfrm>
          <a:off x="78869879" y="4370023"/>
          <a:ext cx="4595327" cy="274443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4" name="Graphique 3">
            <a:extLst>
              <a:ext uri="{FF2B5EF4-FFF2-40B4-BE49-F238E27FC236}">
                <a16:creationId xmlns:a16="http://schemas.microsoft.com/office/drawing/2014/main" id="{F89BA203-BD0D-BF4F-9261-4096C75932AE}"/>
              </a:ext>
            </a:extLst>
          </xdr:cNvPr>
          <xdr:cNvGraphicFramePr>
            <a:graphicFrameLocks/>
          </xdr:cNvGraphicFramePr>
        </xdr:nvGraphicFramePr>
        <xdr:xfrm>
          <a:off x="83466850" y="4370240"/>
          <a:ext cx="4581928" cy="274389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6" name="Graphique 5">
            <a:extLst>
              <a:ext uri="{FF2B5EF4-FFF2-40B4-BE49-F238E27FC236}">
                <a16:creationId xmlns:a16="http://schemas.microsoft.com/office/drawing/2014/main" id="{17DB78F8-978B-A242-9C5B-09A7993040E0}"/>
              </a:ext>
            </a:extLst>
          </xdr:cNvPr>
          <xdr:cNvGraphicFramePr>
            <a:graphicFrameLocks/>
          </xdr:cNvGraphicFramePr>
        </xdr:nvGraphicFramePr>
        <xdr:xfrm>
          <a:off x="78868833" y="7113810"/>
          <a:ext cx="4595327" cy="274085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7" name="Graphique 6">
            <a:extLst>
              <a:ext uri="{FF2B5EF4-FFF2-40B4-BE49-F238E27FC236}">
                <a16:creationId xmlns:a16="http://schemas.microsoft.com/office/drawing/2014/main" id="{5F08BCD3-2ED1-184F-A408-681AF081EF22}"/>
              </a:ext>
            </a:extLst>
          </xdr:cNvPr>
          <xdr:cNvGraphicFramePr>
            <a:graphicFrameLocks/>
          </xdr:cNvGraphicFramePr>
        </xdr:nvGraphicFramePr>
        <xdr:xfrm>
          <a:off x="83464379" y="7114902"/>
          <a:ext cx="4596102" cy="274085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8" name="Graphique 7">
            <a:extLst>
              <a:ext uri="{FF2B5EF4-FFF2-40B4-BE49-F238E27FC236}">
                <a16:creationId xmlns:a16="http://schemas.microsoft.com/office/drawing/2014/main" id="{7377C1B0-D291-4847-92B3-2194C203EC2A}"/>
              </a:ext>
            </a:extLst>
          </xdr:cNvPr>
          <xdr:cNvGraphicFramePr>
            <a:graphicFrameLocks/>
          </xdr:cNvGraphicFramePr>
        </xdr:nvGraphicFramePr>
        <xdr:xfrm>
          <a:off x="78866789" y="9855088"/>
          <a:ext cx="4595327" cy="273607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  <xdr:twoCellAnchor editAs="oneCell">
    <xdr:from>
      <xdr:col>68</xdr:col>
      <xdr:colOff>645410</xdr:colOff>
      <xdr:row>63</xdr:row>
      <xdr:rowOff>104099</xdr:rowOff>
    </xdr:from>
    <xdr:to>
      <xdr:col>70</xdr:col>
      <xdr:colOff>687248</xdr:colOff>
      <xdr:row>66</xdr:row>
      <xdr:rowOff>158645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975D0A85-7610-F007-C9AE-CFF63B9E7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304099" y="13220492"/>
          <a:ext cx="1707410" cy="679138"/>
        </a:xfrm>
        <a:prstGeom prst="rect">
          <a:avLst/>
        </a:prstGeom>
      </xdr:spPr>
    </xdr:pic>
    <xdr:clientData/>
  </xdr:twoCellAnchor>
  <xdr:twoCellAnchor>
    <xdr:from>
      <xdr:col>63</xdr:col>
      <xdr:colOff>0</xdr:colOff>
      <xdr:row>49</xdr:row>
      <xdr:rowOff>0</xdr:rowOff>
    </xdr:from>
    <xdr:to>
      <xdr:col>68</xdr:col>
      <xdr:colOff>480575</xdr:colOff>
      <xdr:row>62</xdr:row>
      <xdr:rowOff>120564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aphique 10">
              <a:extLst>
                <a:ext uri="{FF2B5EF4-FFF2-40B4-BE49-F238E27FC236}">
                  <a16:creationId xmlns:a16="http://schemas.microsoft.com/office/drawing/2014/main" id="{AB09BD84-5893-5D4E-8792-713E0E7A9DD2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466200" y="10464800"/>
              <a:ext cx="4608075" cy="28383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A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85</xdr:col>
      <xdr:colOff>800828</xdr:colOff>
      <xdr:row>26</xdr:row>
      <xdr:rowOff>8089</xdr:rowOff>
    </xdr:from>
    <xdr:to>
      <xdr:col>91</xdr:col>
      <xdr:colOff>419828</xdr:colOff>
      <xdr:row>38</xdr:row>
      <xdr:rowOff>198589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BB30CC53-AC02-A346-86EC-F0FC99011A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91</xdr:col>
      <xdr:colOff>419100</xdr:colOff>
      <xdr:row>26</xdr:row>
      <xdr:rowOff>0</xdr:rowOff>
    </xdr:from>
    <xdr:to>
      <xdr:col>97</xdr:col>
      <xdr:colOff>38100</xdr:colOff>
      <xdr:row>38</xdr:row>
      <xdr:rowOff>190500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7B4830BD-F7B4-BE42-BC7C-ABC824A506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87</xdr:col>
      <xdr:colOff>0</xdr:colOff>
      <xdr:row>46</xdr:row>
      <xdr:rowOff>0</xdr:rowOff>
    </xdr:from>
    <xdr:to>
      <xdr:col>92</xdr:col>
      <xdr:colOff>478282</xdr:colOff>
      <xdr:row>59</xdr:row>
      <xdr:rowOff>6593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6FF1AA7D-2960-1340-A4FC-494DE1F7AA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93</xdr:col>
      <xdr:colOff>0</xdr:colOff>
      <xdr:row>46</xdr:row>
      <xdr:rowOff>0</xdr:rowOff>
    </xdr:from>
    <xdr:to>
      <xdr:col>98</xdr:col>
      <xdr:colOff>477507</xdr:colOff>
      <xdr:row>59</xdr:row>
      <xdr:rowOff>1800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0F969537-9C67-3A41-A48A-762400AD33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32</xdr:col>
      <xdr:colOff>0</xdr:colOff>
      <xdr:row>105</xdr:row>
      <xdr:rowOff>0</xdr:rowOff>
    </xdr:from>
    <xdr:to>
      <xdr:col>36</xdr:col>
      <xdr:colOff>810775</xdr:colOff>
      <xdr:row>118</xdr:row>
      <xdr:rowOff>145964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Graphique 16">
              <a:extLst>
                <a:ext uri="{FF2B5EF4-FFF2-40B4-BE49-F238E27FC236}">
                  <a16:creationId xmlns:a16="http://schemas.microsoft.com/office/drawing/2014/main" id="{0CFEB1C3-E7DA-2448-A708-3FBD9A4F18F7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030900" y="22199600"/>
              <a:ext cx="4620775" cy="28510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A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31</xdr:col>
      <xdr:colOff>558800</xdr:colOff>
      <xdr:row>125</xdr:row>
      <xdr:rowOff>203200</xdr:rowOff>
    </xdr:from>
    <xdr:to>
      <xdr:col>36</xdr:col>
      <xdr:colOff>99575</xdr:colOff>
      <xdr:row>139</xdr:row>
      <xdr:rowOff>222164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Graphique 17">
              <a:extLst>
                <a:ext uri="{FF2B5EF4-FFF2-40B4-BE49-F238E27FC236}">
                  <a16:creationId xmlns:a16="http://schemas.microsoft.com/office/drawing/2014/main" id="{1B3D9406-511D-DF41-B6A0-FEC0FC509EA8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319700" y="26619200"/>
              <a:ext cx="4620775" cy="28891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A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0.48802</cdr:x>
      <cdr:y>0.14757</cdr:y>
    </cdr:from>
    <cdr:to>
      <cdr:x>0.72812</cdr:x>
      <cdr:y>0.28661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76E0302F-E651-7B83-0911-1EC680E573C2}"/>
            </a:ext>
          </a:extLst>
        </cdr:cNvPr>
        <cdr:cNvSpPr txBox="1"/>
      </cdr:nvSpPr>
      <cdr:spPr>
        <a:xfrm xmlns:a="http://schemas.openxmlformats.org/drawingml/2006/main">
          <a:off x="2246425" y="407153"/>
          <a:ext cx="1105263" cy="3835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900">
              <a:solidFill>
                <a:srgbClr val="FF0000"/>
              </a:solidFill>
            </a:rPr>
            <a:t>r = 0.82 </a:t>
          </a:r>
        </a:p>
      </cdr:txBody>
    </cdr:sp>
  </cdr:relSizeAnchor>
  <cdr:relSizeAnchor xmlns:cdr="http://schemas.openxmlformats.org/drawingml/2006/chartDrawing">
    <cdr:from>
      <cdr:x>0.48884</cdr:x>
      <cdr:y>0.48661</cdr:y>
    </cdr:from>
    <cdr:to>
      <cdr:x>0.68696</cdr:x>
      <cdr:y>0.58095</cdr:y>
    </cdr:to>
    <cdr:sp macro="" textlink="">
      <cdr:nvSpPr>
        <cdr:cNvPr id="3" name="ZoneTexte 1">
          <a:extLst xmlns:a="http://schemas.openxmlformats.org/drawingml/2006/main">
            <a:ext uri="{FF2B5EF4-FFF2-40B4-BE49-F238E27FC236}">
              <a16:creationId xmlns:a16="http://schemas.microsoft.com/office/drawing/2014/main" id="{FC176723-FF85-6246-5DFD-DD359FD35506}"/>
            </a:ext>
          </a:extLst>
        </cdr:cNvPr>
        <cdr:cNvSpPr txBox="1"/>
      </cdr:nvSpPr>
      <cdr:spPr>
        <a:xfrm xmlns:a="http://schemas.openxmlformats.org/drawingml/2006/main">
          <a:off x="2257540" y="1347594"/>
          <a:ext cx="914954" cy="2612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>
              <a:solidFill>
                <a:srgbClr val="92D050"/>
              </a:solidFill>
            </a:rPr>
            <a:t>r = 0.53</a:t>
          </a:r>
        </a:p>
      </cdr:txBody>
    </cdr:sp>
  </cdr:relSizeAnchor>
  <cdr:relSizeAnchor xmlns:cdr="http://schemas.openxmlformats.org/drawingml/2006/chartDrawing">
    <cdr:from>
      <cdr:x>0.48637</cdr:x>
      <cdr:y>0.30824</cdr:y>
    </cdr:from>
    <cdr:to>
      <cdr:x>0.72648</cdr:x>
      <cdr:y>0.44727</cdr:y>
    </cdr:to>
    <cdr:sp macro="" textlink="">
      <cdr:nvSpPr>
        <cdr:cNvPr id="4" name="ZoneTexte 1">
          <a:extLst xmlns:a="http://schemas.openxmlformats.org/drawingml/2006/main">
            <a:ext uri="{FF2B5EF4-FFF2-40B4-BE49-F238E27FC236}">
              <a16:creationId xmlns:a16="http://schemas.microsoft.com/office/drawing/2014/main" id="{A6F91000-0432-5059-2EE8-67D7F2B567DC}"/>
            </a:ext>
          </a:extLst>
        </cdr:cNvPr>
        <cdr:cNvSpPr txBox="1"/>
      </cdr:nvSpPr>
      <cdr:spPr>
        <a:xfrm xmlns:a="http://schemas.openxmlformats.org/drawingml/2006/main">
          <a:off x="2232098" y="836067"/>
          <a:ext cx="1101921" cy="3771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>
              <a:solidFill>
                <a:schemeClr val="bg1">
                  <a:lumMod val="75000"/>
                </a:schemeClr>
              </a:solidFill>
            </a:rPr>
            <a:t>r = 0.54 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0.12978</cdr:x>
      <cdr:y>0.11125</cdr:y>
    </cdr:from>
    <cdr:to>
      <cdr:x>0.37002</cdr:x>
      <cdr:y>0.25031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7B89CBD6-4136-F1A2-01A6-462515502135}"/>
            </a:ext>
          </a:extLst>
        </cdr:cNvPr>
        <cdr:cNvSpPr txBox="1"/>
      </cdr:nvSpPr>
      <cdr:spPr>
        <a:xfrm xmlns:a="http://schemas.openxmlformats.org/drawingml/2006/main">
          <a:off x="596900" y="304800"/>
          <a:ext cx="11049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100">
              <a:solidFill>
                <a:srgbClr val="FF0000"/>
              </a:solidFill>
            </a:rPr>
            <a:t>r = -</a:t>
          </a:r>
          <a:r>
            <a:rPr lang="fr-FR" sz="900">
              <a:solidFill>
                <a:srgbClr val="FF0000"/>
              </a:solidFill>
            </a:rPr>
            <a:t>0.36</a:t>
          </a:r>
          <a:r>
            <a:rPr lang="fr-FR" sz="1100">
              <a:solidFill>
                <a:srgbClr val="FF0000"/>
              </a:solidFill>
            </a:rPr>
            <a:t> </a:t>
          </a:r>
        </a:p>
      </cdr:txBody>
    </cdr:sp>
  </cdr:relSizeAnchor>
  <cdr:relSizeAnchor xmlns:cdr="http://schemas.openxmlformats.org/drawingml/2006/chartDrawing">
    <cdr:from>
      <cdr:x>0.14359</cdr:x>
      <cdr:y>0.52379</cdr:y>
    </cdr:from>
    <cdr:to>
      <cdr:x>0.34182</cdr:x>
      <cdr:y>0.61814</cdr:y>
    </cdr:to>
    <cdr:sp macro="" textlink="">
      <cdr:nvSpPr>
        <cdr:cNvPr id="4" name="ZoneTexte 1">
          <a:extLst xmlns:a="http://schemas.openxmlformats.org/drawingml/2006/main">
            <a:ext uri="{FF2B5EF4-FFF2-40B4-BE49-F238E27FC236}">
              <a16:creationId xmlns:a16="http://schemas.microsoft.com/office/drawing/2014/main" id="{E87E1164-3CC9-5CCA-F396-E502B3A6A67C}"/>
            </a:ext>
          </a:extLst>
        </cdr:cNvPr>
        <cdr:cNvSpPr txBox="1"/>
      </cdr:nvSpPr>
      <cdr:spPr>
        <a:xfrm xmlns:a="http://schemas.openxmlformats.org/drawingml/2006/main">
          <a:off x="660400" y="1435100"/>
          <a:ext cx="911709" cy="2585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>
              <a:solidFill>
                <a:srgbClr val="92D050"/>
              </a:solidFill>
            </a:rPr>
            <a:t>r = 0.33</a:t>
          </a:r>
        </a:p>
      </cdr:txBody>
    </cdr:sp>
  </cdr:relSizeAnchor>
  <cdr:relSizeAnchor xmlns:cdr="http://schemas.openxmlformats.org/drawingml/2006/chartDrawing">
    <cdr:from>
      <cdr:x>0.13914</cdr:x>
      <cdr:y>0.31601</cdr:y>
    </cdr:from>
    <cdr:to>
      <cdr:x>0.37893</cdr:x>
      <cdr:y>0.45507</cdr:y>
    </cdr:to>
    <cdr:sp macro="" textlink="">
      <cdr:nvSpPr>
        <cdr:cNvPr id="5" name="ZoneTexte 1">
          <a:extLst xmlns:a="http://schemas.openxmlformats.org/drawingml/2006/main">
            <a:ext uri="{FF2B5EF4-FFF2-40B4-BE49-F238E27FC236}">
              <a16:creationId xmlns:a16="http://schemas.microsoft.com/office/drawing/2014/main" id="{0FA9C62A-29AF-2BC2-D2AD-749E798E7841}"/>
            </a:ext>
          </a:extLst>
        </cdr:cNvPr>
        <cdr:cNvSpPr txBox="1"/>
      </cdr:nvSpPr>
      <cdr:spPr>
        <a:xfrm xmlns:a="http://schemas.openxmlformats.org/drawingml/2006/main">
          <a:off x="643466" y="880534"/>
          <a:ext cx="1108967" cy="3874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>
              <a:solidFill>
                <a:schemeClr val="bg1">
                  <a:lumMod val="75000"/>
                </a:schemeClr>
              </a:solidFill>
            </a:rPr>
            <a:t>r = -0.28 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0.12039</cdr:x>
      <cdr:y>0.18231</cdr:y>
    </cdr:from>
    <cdr:to>
      <cdr:x>0.31851</cdr:x>
      <cdr:y>0.27671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8CD618DB-7D73-B45D-5059-A49F4B45367E}"/>
            </a:ext>
          </a:extLst>
        </cdr:cNvPr>
        <cdr:cNvSpPr txBox="1"/>
      </cdr:nvSpPr>
      <cdr:spPr>
        <a:xfrm xmlns:a="http://schemas.openxmlformats.org/drawingml/2006/main">
          <a:off x="552932" y="500792"/>
          <a:ext cx="909981" cy="2593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900">
              <a:solidFill>
                <a:srgbClr val="FF0000"/>
              </a:solidFill>
            </a:rPr>
            <a:t>r = - 0.25</a:t>
          </a:r>
        </a:p>
      </cdr:txBody>
    </cdr:sp>
  </cdr:relSizeAnchor>
  <cdr:relSizeAnchor xmlns:cdr="http://schemas.openxmlformats.org/drawingml/2006/chartDrawing">
    <cdr:from>
      <cdr:x>0.12478</cdr:x>
      <cdr:y>0.61279</cdr:y>
    </cdr:from>
    <cdr:to>
      <cdr:x>0.32291</cdr:x>
      <cdr:y>0.70719</cdr:y>
    </cdr:to>
    <cdr:sp macro="" textlink="">
      <cdr:nvSpPr>
        <cdr:cNvPr id="3" name="ZoneTexte 1">
          <a:extLst xmlns:a="http://schemas.openxmlformats.org/drawingml/2006/main">
            <a:ext uri="{FF2B5EF4-FFF2-40B4-BE49-F238E27FC236}">
              <a16:creationId xmlns:a16="http://schemas.microsoft.com/office/drawing/2014/main" id="{B8B7E58C-C3A8-C2C4-F69E-D9117C927624}"/>
            </a:ext>
          </a:extLst>
        </cdr:cNvPr>
        <cdr:cNvSpPr txBox="1"/>
      </cdr:nvSpPr>
      <cdr:spPr>
        <a:xfrm xmlns:a="http://schemas.openxmlformats.org/drawingml/2006/main">
          <a:off x="575167" y="1680901"/>
          <a:ext cx="913238" cy="2589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>
              <a:solidFill>
                <a:srgbClr val="92D050"/>
              </a:solidFill>
            </a:rPr>
            <a:t>r = - 0.25</a:t>
          </a:r>
        </a:p>
      </cdr:txBody>
    </cdr:sp>
  </cdr:relSizeAnchor>
  <cdr:relSizeAnchor xmlns:cdr="http://schemas.openxmlformats.org/drawingml/2006/chartDrawing">
    <cdr:from>
      <cdr:x>0.12466</cdr:x>
      <cdr:y>0.39884</cdr:y>
    </cdr:from>
    <cdr:to>
      <cdr:x>0.36476</cdr:x>
      <cdr:y>0.53818</cdr:y>
    </cdr:to>
    <cdr:sp macro="" textlink="">
      <cdr:nvSpPr>
        <cdr:cNvPr id="4" name="ZoneTexte 1">
          <a:extLst xmlns:a="http://schemas.openxmlformats.org/drawingml/2006/main">
            <a:ext uri="{FF2B5EF4-FFF2-40B4-BE49-F238E27FC236}">
              <a16:creationId xmlns:a16="http://schemas.microsoft.com/office/drawing/2014/main" id="{0FA9C62A-29AF-2BC2-D2AD-749E798E7841}"/>
            </a:ext>
          </a:extLst>
        </cdr:cNvPr>
        <cdr:cNvSpPr txBox="1"/>
      </cdr:nvSpPr>
      <cdr:spPr>
        <a:xfrm xmlns:a="http://schemas.openxmlformats.org/drawingml/2006/main">
          <a:off x="575734" y="1109134"/>
          <a:ext cx="1108967" cy="3874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>
              <a:solidFill>
                <a:schemeClr val="bg1">
                  <a:lumMod val="75000"/>
                </a:schemeClr>
              </a:solidFill>
            </a:rPr>
            <a:t>r = 0.16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0.12663</cdr:x>
      <cdr:y>0.12985</cdr:y>
    </cdr:from>
    <cdr:to>
      <cdr:x>0.36613</cdr:x>
      <cdr:y>0.26897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B23C2FF8-97D5-0657-53C7-77985ED36C19}"/>
            </a:ext>
          </a:extLst>
        </cdr:cNvPr>
        <cdr:cNvSpPr txBox="1"/>
      </cdr:nvSpPr>
      <cdr:spPr>
        <a:xfrm xmlns:a="http://schemas.openxmlformats.org/drawingml/2006/main">
          <a:off x="584200" y="355600"/>
          <a:ext cx="11049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100">
              <a:solidFill>
                <a:srgbClr val="FF0000"/>
              </a:solidFill>
            </a:rPr>
            <a:t>r = -</a:t>
          </a:r>
          <a:r>
            <a:rPr lang="fr-FR" sz="900">
              <a:solidFill>
                <a:srgbClr val="FF0000"/>
              </a:solidFill>
            </a:rPr>
            <a:t>0.35</a:t>
          </a:r>
          <a:r>
            <a:rPr lang="fr-FR" sz="1100">
              <a:solidFill>
                <a:srgbClr val="FF0000"/>
              </a:solidFill>
            </a:rPr>
            <a:t> </a:t>
          </a:r>
        </a:p>
      </cdr:txBody>
    </cdr:sp>
  </cdr:relSizeAnchor>
  <cdr:relSizeAnchor xmlns:cdr="http://schemas.openxmlformats.org/drawingml/2006/chartDrawing">
    <cdr:from>
      <cdr:x>0.13639</cdr:x>
      <cdr:y>0.48481</cdr:y>
    </cdr:from>
    <cdr:to>
      <cdr:x>0.33401</cdr:x>
      <cdr:y>0.57921</cdr:y>
    </cdr:to>
    <cdr:sp macro="" textlink="">
      <cdr:nvSpPr>
        <cdr:cNvPr id="3" name="ZoneTexte 1">
          <a:extLst xmlns:a="http://schemas.openxmlformats.org/drawingml/2006/main">
            <a:ext uri="{FF2B5EF4-FFF2-40B4-BE49-F238E27FC236}">
              <a16:creationId xmlns:a16="http://schemas.microsoft.com/office/drawing/2014/main" id="{6BADACB3-6B6F-259C-3EB6-53E1DBD9C414}"/>
            </a:ext>
          </a:extLst>
        </cdr:cNvPr>
        <cdr:cNvSpPr txBox="1"/>
      </cdr:nvSpPr>
      <cdr:spPr>
        <a:xfrm xmlns:a="http://schemas.openxmlformats.org/drawingml/2006/main">
          <a:off x="629227" y="1314798"/>
          <a:ext cx="911709" cy="2560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>
              <a:solidFill>
                <a:srgbClr val="92D050"/>
              </a:solidFill>
            </a:rPr>
            <a:t>r = -0.06</a:t>
          </a:r>
        </a:p>
      </cdr:txBody>
    </cdr:sp>
  </cdr:relSizeAnchor>
  <cdr:relSizeAnchor xmlns:cdr="http://schemas.openxmlformats.org/drawingml/2006/chartDrawing">
    <cdr:from>
      <cdr:x>0.13155</cdr:x>
      <cdr:y>0.3416</cdr:y>
    </cdr:from>
    <cdr:to>
      <cdr:x>0.37119</cdr:x>
      <cdr:y>0.48227</cdr:y>
    </cdr:to>
    <cdr:sp macro="" textlink="">
      <cdr:nvSpPr>
        <cdr:cNvPr id="4" name="ZoneTexte 1">
          <a:extLst xmlns:a="http://schemas.openxmlformats.org/drawingml/2006/main">
            <a:ext uri="{FF2B5EF4-FFF2-40B4-BE49-F238E27FC236}">
              <a16:creationId xmlns:a16="http://schemas.microsoft.com/office/drawing/2014/main" id="{0FA9C62A-29AF-2BC2-D2AD-749E798E7841}"/>
            </a:ext>
          </a:extLst>
        </cdr:cNvPr>
        <cdr:cNvSpPr txBox="1"/>
      </cdr:nvSpPr>
      <cdr:spPr>
        <a:xfrm xmlns:a="http://schemas.openxmlformats.org/drawingml/2006/main">
          <a:off x="606883" y="926426"/>
          <a:ext cx="1105586" cy="3814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>
              <a:solidFill>
                <a:schemeClr val="bg1">
                  <a:lumMod val="75000"/>
                </a:schemeClr>
              </a:solidFill>
            </a:rPr>
            <a:t>r = -0.09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0.62814</cdr:x>
      <cdr:y>0.24073</cdr:y>
    </cdr:from>
    <cdr:to>
      <cdr:x>0.72828</cdr:x>
      <cdr:y>0.35817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723D4EBE-ED52-3B70-914A-E0BB052DA654}"/>
            </a:ext>
          </a:extLst>
        </cdr:cNvPr>
        <cdr:cNvSpPr txBox="1"/>
      </cdr:nvSpPr>
      <cdr:spPr>
        <a:xfrm xmlns:a="http://schemas.openxmlformats.org/drawingml/2006/main">
          <a:off x="2888236" y="654605"/>
          <a:ext cx="460468" cy="3193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1100"/>
        </a:p>
      </cdr:txBody>
    </cdr:sp>
  </cdr:relSizeAnchor>
  <cdr:relSizeAnchor xmlns:cdr="http://schemas.openxmlformats.org/drawingml/2006/chartDrawing">
    <cdr:from>
      <cdr:x>0.18744</cdr:x>
      <cdr:y>0.17737</cdr:y>
    </cdr:from>
    <cdr:to>
      <cdr:x>0.35542</cdr:x>
      <cdr:y>0.28662</cdr:y>
    </cdr:to>
    <cdr:sp macro="" textlink="">
      <cdr:nvSpPr>
        <cdr:cNvPr id="3" name="ZoneTexte 2">
          <a:extLst xmlns:a="http://schemas.openxmlformats.org/drawingml/2006/main">
            <a:ext uri="{FF2B5EF4-FFF2-40B4-BE49-F238E27FC236}">
              <a16:creationId xmlns:a16="http://schemas.microsoft.com/office/drawing/2014/main" id="{9CA4A34E-60E6-3859-705E-D451E2F834D9}"/>
            </a:ext>
          </a:extLst>
        </cdr:cNvPr>
        <cdr:cNvSpPr txBox="1"/>
      </cdr:nvSpPr>
      <cdr:spPr>
        <a:xfrm xmlns:a="http://schemas.openxmlformats.org/drawingml/2006/main">
          <a:off x="862621" y="490527"/>
          <a:ext cx="773070" cy="3021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900">
              <a:solidFill>
                <a:srgbClr val="FF0000"/>
              </a:solidFill>
            </a:rPr>
            <a:t>r = -0.54 </a:t>
          </a:r>
        </a:p>
      </cdr:txBody>
    </cdr:sp>
  </cdr:relSizeAnchor>
  <cdr:relSizeAnchor xmlns:cdr="http://schemas.openxmlformats.org/drawingml/2006/chartDrawing">
    <cdr:from>
      <cdr:x>0.19437</cdr:x>
      <cdr:y>0.57463</cdr:y>
    </cdr:from>
    <cdr:to>
      <cdr:x>0.36235</cdr:x>
      <cdr:y>0.68387</cdr:y>
    </cdr:to>
    <cdr:sp macro="" textlink="">
      <cdr:nvSpPr>
        <cdr:cNvPr id="4" name="ZoneTexte 1">
          <a:extLst xmlns:a="http://schemas.openxmlformats.org/drawingml/2006/main">
            <a:ext uri="{FF2B5EF4-FFF2-40B4-BE49-F238E27FC236}">
              <a16:creationId xmlns:a16="http://schemas.microsoft.com/office/drawing/2014/main" id="{E9B3CC8F-68CA-F528-99C8-48E202CDAA8A}"/>
            </a:ext>
          </a:extLst>
        </cdr:cNvPr>
        <cdr:cNvSpPr txBox="1"/>
      </cdr:nvSpPr>
      <cdr:spPr>
        <a:xfrm xmlns:a="http://schemas.openxmlformats.org/drawingml/2006/main">
          <a:off x="893454" y="1570448"/>
          <a:ext cx="772158" cy="2985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>
              <a:solidFill>
                <a:srgbClr val="92D050"/>
              </a:solidFill>
            </a:rPr>
            <a:t>r = 0.43</a:t>
          </a:r>
        </a:p>
      </cdr:txBody>
    </cdr:sp>
  </cdr:relSizeAnchor>
  <cdr:relSizeAnchor xmlns:cdr="http://schemas.openxmlformats.org/drawingml/2006/chartDrawing">
    <cdr:from>
      <cdr:x>0.19291</cdr:x>
      <cdr:y>0.38585</cdr:y>
    </cdr:from>
    <cdr:to>
      <cdr:x>0.4338</cdr:x>
      <cdr:y>0.52599</cdr:y>
    </cdr:to>
    <cdr:sp macro="" textlink="">
      <cdr:nvSpPr>
        <cdr:cNvPr id="8" name="ZoneTexte 1">
          <a:extLst xmlns:a="http://schemas.openxmlformats.org/drawingml/2006/main">
            <a:ext uri="{FF2B5EF4-FFF2-40B4-BE49-F238E27FC236}">
              <a16:creationId xmlns:a16="http://schemas.microsoft.com/office/drawing/2014/main" id="{0FA9C62A-29AF-2BC2-D2AD-749E798E7841}"/>
            </a:ext>
          </a:extLst>
        </cdr:cNvPr>
        <cdr:cNvSpPr txBox="1"/>
      </cdr:nvSpPr>
      <cdr:spPr>
        <a:xfrm xmlns:a="http://schemas.openxmlformats.org/drawingml/2006/main">
          <a:off x="888059" y="1066800"/>
          <a:ext cx="1108967" cy="3874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>
              <a:solidFill>
                <a:schemeClr val="bg1">
                  <a:lumMod val="75000"/>
                </a:schemeClr>
              </a:solidFill>
            </a:rPr>
            <a:t>r = -0.27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0.12978</cdr:x>
      <cdr:y>0.11125</cdr:y>
    </cdr:from>
    <cdr:to>
      <cdr:x>0.37002</cdr:x>
      <cdr:y>0.25031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7B89CBD6-4136-F1A2-01A6-462515502135}"/>
            </a:ext>
          </a:extLst>
        </cdr:cNvPr>
        <cdr:cNvSpPr txBox="1"/>
      </cdr:nvSpPr>
      <cdr:spPr>
        <a:xfrm xmlns:a="http://schemas.openxmlformats.org/drawingml/2006/main">
          <a:off x="596900" y="304800"/>
          <a:ext cx="11049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100">
              <a:solidFill>
                <a:srgbClr val="FF0000"/>
              </a:solidFill>
            </a:rPr>
            <a:t>r = -</a:t>
          </a:r>
          <a:r>
            <a:rPr lang="fr-FR" sz="900">
              <a:solidFill>
                <a:srgbClr val="FF0000"/>
              </a:solidFill>
            </a:rPr>
            <a:t>0.36</a:t>
          </a:r>
          <a:r>
            <a:rPr lang="fr-FR" sz="1100">
              <a:solidFill>
                <a:srgbClr val="FF0000"/>
              </a:solidFill>
            </a:rPr>
            <a:t> </a:t>
          </a:r>
        </a:p>
      </cdr:txBody>
    </cdr:sp>
  </cdr:relSizeAnchor>
  <cdr:relSizeAnchor xmlns:cdr="http://schemas.openxmlformats.org/drawingml/2006/chartDrawing">
    <cdr:from>
      <cdr:x>0.14359</cdr:x>
      <cdr:y>0.52379</cdr:y>
    </cdr:from>
    <cdr:to>
      <cdr:x>0.34182</cdr:x>
      <cdr:y>0.61814</cdr:y>
    </cdr:to>
    <cdr:sp macro="" textlink="">
      <cdr:nvSpPr>
        <cdr:cNvPr id="4" name="ZoneTexte 1">
          <a:extLst xmlns:a="http://schemas.openxmlformats.org/drawingml/2006/main">
            <a:ext uri="{FF2B5EF4-FFF2-40B4-BE49-F238E27FC236}">
              <a16:creationId xmlns:a16="http://schemas.microsoft.com/office/drawing/2014/main" id="{E87E1164-3CC9-5CCA-F396-E502B3A6A67C}"/>
            </a:ext>
          </a:extLst>
        </cdr:cNvPr>
        <cdr:cNvSpPr txBox="1"/>
      </cdr:nvSpPr>
      <cdr:spPr>
        <a:xfrm xmlns:a="http://schemas.openxmlformats.org/drawingml/2006/main">
          <a:off x="660400" y="1435100"/>
          <a:ext cx="911709" cy="2585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>
              <a:solidFill>
                <a:srgbClr val="92D050"/>
              </a:solidFill>
            </a:rPr>
            <a:t>r = 0.33</a:t>
          </a:r>
        </a:p>
      </cdr:txBody>
    </cdr:sp>
  </cdr:relSizeAnchor>
  <cdr:relSizeAnchor xmlns:cdr="http://schemas.openxmlformats.org/drawingml/2006/chartDrawing">
    <cdr:from>
      <cdr:x>0.13914</cdr:x>
      <cdr:y>0.31601</cdr:y>
    </cdr:from>
    <cdr:to>
      <cdr:x>0.37893</cdr:x>
      <cdr:y>0.45507</cdr:y>
    </cdr:to>
    <cdr:sp macro="" textlink="">
      <cdr:nvSpPr>
        <cdr:cNvPr id="5" name="ZoneTexte 1">
          <a:extLst xmlns:a="http://schemas.openxmlformats.org/drawingml/2006/main">
            <a:ext uri="{FF2B5EF4-FFF2-40B4-BE49-F238E27FC236}">
              <a16:creationId xmlns:a16="http://schemas.microsoft.com/office/drawing/2014/main" id="{0FA9C62A-29AF-2BC2-D2AD-749E798E7841}"/>
            </a:ext>
          </a:extLst>
        </cdr:cNvPr>
        <cdr:cNvSpPr txBox="1"/>
      </cdr:nvSpPr>
      <cdr:spPr>
        <a:xfrm xmlns:a="http://schemas.openxmlformats.org/drawingml/2006/main">
          <a:off x="643466" y="880534"/>
          <a:ext cx="1108967" cy="3874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>
              <a:solidFill>
                <a:schemeClr val="bg1">
                  <a:lumMod val="75000"/>
                </a:schemeClr>
              </a:solidFill>
            </a:rPr>
            <a:t>r = -0.28 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0.12039</cdr:x>
      <cdr:y>0.18231</cdr:y>
    </cdr:from>
    <cdr:to>
      <cdr:x>0.31851</cdr:x>
      <cdr:y>0.27671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8CD618DB-7D73-B45D-5059-A49F4B45367E}"/>
            </a:ext>
          </a:extLst>
        </cdr:cNvPr>
        <cdr:cNvSpPr txBox="1"/>
      </cdr:nvSpPr>
      <cdr:spPr>
        <a:xfrm xmlns:a="http://schemas.openxmlformats.org/drawingml/2006/main">
          <a:off x="552932" y="500792"/>
          <a:ext cx="909981" cy="2593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900">
              <a:solidFill>
                <a:srgbClr val="FF0000"/>
              </a:solidFill>
            </a:rPr>
            <a:t>r = - 0.25</a:t>
          </a:r>
        </a:p>
      </cdr:txBody>
    </cdr:sp>
  </cdr:relSizeAnchor>
  <cdr:relSizeAnchor xmlns:cdr="http://schemas.openxmlformats.org/drawingml/2006/chartDrawing">
    <cdr:from>
      <cdr:x>0.12478</cdr:x>
      <cdr:y>0.61279</cdr:y>
    </cdr:from>
    <cdr:to>
      <cdr:x>0.32291</cdr:x>
      <cdr:y>0.70719</cdr:y>
    </cdr:to>
    <cdr:sp macro="" textlink="">
      <cdr:nvSpPr>
        <cdr:cNvPr id="3" name="ZoneTexte 1">
          <a:extLst xmlns:a="http://schemas.openxmlformats.org/drawingml/2006/main">
            <a:ext uri="{FF2B5EF4-FFF2-40B4-BE49-F238E27FC236}">
              <a16:creationId xmlns:a16="http://schemas.microsoft.com/office/drawing/2014/main" id="{B8B7E58C-C3A8-C2C4-F69E-D9117C927624}"/>
            </a:ext>
          </a:extLst>
        </cdr:cNvPr>
        <cdr:cNvSpPr txBox="1"/>
      </cdr:nvSpPr>
      <cdr:spPr>
        <a:xfrm xmlns:a="http://schemas.openxmlformats.org/drawingml/2006/main">
          <a:off x="575167" y="1680901"/>
          <a:ext cx="913238" cy="2589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>
              <a:solidFill>
                <a:srgbClr val="92D050"/>
              </a:solidFill>
            </a:rPr>
            <a:t>r = - 0.25</a:t>
          </a:r>
        </a:p>
      </cdr:txBody>
    </cdr:sp>
  </cdr:relSizeAnchor>
  <cdr:relSizeAnchor xmlns:cdr="http://schemas.openxmlformats.org/drawingml/2006/chartDrawing">
    <cdr:from>
      <cdr:x>0.12466</cdr:x>
      <cdr:y>0.39884</cdr:y>
    </cdr:from>
    <cdr:to>
      <cdr:x>0.36476</cdr:x>
      <cdr:y>0.53818</cdr:y>
    </cdr:to>
    <cdr:sp macro="" textlink="">
      <cdr:nvSpPr>
        <cdr:cNvPr id="4" name="ZoneTexte 1">
          <a:extLst xmlns:a="http://schemas.openxmlformats.org/drawingml/2006/main">
            <a:ext uri="{FF2B5EF4-FFF2-40B4-BE49-F238E27FC236}">
              <a16:creationId xmlns:a16="http://schemas.microsoft.com/office/drawing/2014/main" id="{0FA9C62A-29AF-2BC2-D2AD-749E798E7841}"/>
            </a:ext>
          </a:extLst>
        </cdr:cNvPr>
        <cdr:cNvSpPr txBox="1"/>
      </cdr:nvSpPr>
      <cdr:spPr>
        <a:xfrm xmlns:a="http://schemas.openxmlformats.org/drawingml/2006/main">
          <a:off x="575734" y="1109134"/>
          <a:ext cx="1108967" cy="3874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>
              <a:solidFill>
                <a:schemeClr val="bg1">
                  <a:lumMod val="75000"/>
                </a:schemeClr>
              </a:solidFill>
            </a:rPr>
            <a:t>r = 0.16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0.12663</cdr:x>
      <cdr:y>0.12985</cdr:y>
    </cdr:from>
    <cdr:to>
      <cdr:x>0.36613</cdr:x>
      <cdr:y>0.26897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B23C2FF8-97D5-0657-53C7-77985ED36C19}"/>
            </a:ext>
          </a:extLst>
        </cdr:cNvPr>
        <cdr:cNvSpPr txBox="1"/>
      </cdr:nvSpPr>
      <cdr:spPr>
        <a:xfrm xmlns:a="http://schemas.openxmlformats.org/drawingml/2006/main">
          <a:off x="584200" y="355600"/>
          <a:ext cx="11049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100">
              <a:solidFill>
                <a:srgbClr val="FF0000"/>
              </a:solidFill>
            </a:rPr>
            <a:t>r = -</a:t>
          </a:r>
          <a:r>
            <a:rPr lang="fr-FR" sz="900">
              <a:solidFill>
                <a:srgbClr val="FF0000"/>
              </a:solidFill>
            </a:rPr>
            <a:t>0.35</a:t>
          </a:r>
          <a:r>
            <a:rPr lang="fr-FR" sz="1100">
              <a:solidFill>
                <a:srgbClr val="FF0000"/>
              </a:solidFill>
            </a:rPr>
            <a:t> </a:t>
          </a:r>
        </a:p>
      </cdr:txBody>
    </cdr:sp>
  </cdr:relSizeAnchor>
  <cdr:relSizeAnchor xmlns:cdr="http://schemas.openxmlformats.org/drawingml/2006/chartDrawing">
    <cdr:from>
      <cdr:x>0.13639</cdr:x>
      <cdr:y>0.48481</cdr:y>
    </cdr:from>
    <cdr:to>
      <cdr:x>0.33401</cdr:x>
      <cdr:y>0.57921</cdr:y>
    </cdr:to>
    <cdr:sp macro="" textlink="">
      <cdr:nvSpPr>
        <cdr:cNvPr id="3" name="ZoneTexte 1">
          <a:extLst xmlns:a="http://schemas.openxmlformats.org/drawingml/2006/main">
            <a:ext uri="{FF2B5EF4-FFF2-40B4-BE49-F238E27FC236}">
              <a16:creationId xmlns:a16="http://schemas.microsoft.com/office/drawing/2014/main" id="{6BADACB3-6B6F-259C-3EB6-53E1DBD9C414}"/>
            </a:ext>
          </a:extLst>
        </cdr:cNvPr>
        <cdr:cNvSpPr txBox="1"/>
      </cdr:nvSpPr>
      <cdr:spPr>
        <a:xfrm xmlns:a="http://schemas.openxmlformats.org/drawingml/2006/main">
          <a:off x="629227" y="1314798"/>
          <a:ext cx="911709" cy="2560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>
              <a:solidFill>
                <a:srgbClr val="92D050"/>
              </a:solidFill>
            </a:rPr>
            <a:t>r = -0.06</a:t>
          </a:r>
        </a:p>
      </cdr:txBody>
    </cdr:sp>
  </cdr:relSizeAnchor>
  <cdr:relSizeAnchor xmlns:cdr="http://schemas.openxmlformats.org/drawingml/2006/chartDrawing">
    <cdr:from>
      <cdr:x>0.13155</cdr:x>
      <cdr:y>0.3416</cdr:y>
    </cdr:from>
    <cdr:to>
      <cdr:x>0.37119</cdr:x>
      <cdr:y>0.48227</cdr:y>
    </cdr:to>
    <cdr:sp macro="" textlink="">
      <cdr:nvSpPr>
        <cdr:cNvPr id="4" name="ZoneTexte 1">
          <a:extLst xmlns:a="http://schemas.openxmlformats.org/drawingml/2006/main">
            <a:ext uri="{FF2B5EF4-FFF2-40B4-BE49-F238E27FC236}">
              <a16:creationId xmlns:a16="http://schemas.microsoft.com/office/drawing/2014/main" id="{0FA9C62A-29AF-2BC2-D2AD-749E798E7841}"/>
            </a:ext>
          </a:extLst>
        </cdr:cNvPr>
        <cdr:cNvSpPr txBox="1"/>
      </cdr:nvSpPr>
      <cdr:spPr>
        <a:xfrm xmlns:a="http://schemas.openxmlformats.org/drawingml/2006/main">
          <a:off x="606883" y="926426"/>
          <a:ext cx="1105586" cy="3814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>
              <a:solidFill>
                <a:schemeClr val="bg1">
                  <a:lumMod val="75000"/>
                </a:schemeClr>
              </a:solidFill>
            </a:rPr>
            <a:t>r = -0.09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0.62814</cdr:x>
      <cdr:y>0.24073</cdr:y>
    </cdr:from>
    <cdr:to>
      <cdr:x>0.72828</cdr:x>
      <cdr:y>0.35817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723D4EBE-ED52-3B70-914A-E0BB052DA654}"/>
            </a:ext>
          </a:extLst>
        </cdr:cNvPr>
        <cdr:cNvSpPr txBox="1"/>
      </cdr:nvSpPr>
      <cdr:spPr>
        <a:xfrm xmlns:a="http://schemas.openxmlformats.org/drawingml/2006/main">
          <a:off x="2888236" y="654605"/>
          <a:ext cx="460468" cy="3193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1100"/>
        </a:p>
      </cdr:txBody>
    </cdr:sp>
  </cdr:relSizeAnchor>
  <cdr:relSizeAnchor xmlns:cdr="http://schemas.openxmlformats.org/drawingml/2006/chartDrawing">
    <cdr:from>
      <cdr:x>0.18744</cdr:x>
      <cdr:y>0.17737</cdr:y>
    </cdr:from>
    <cdr:to>
      <cdr:x>0.35542</cdr:x>
      <cdr:y>0.28662</cdr:y>
    </cdr:to>
    <cdr:sp macro="" textlink="">
      <cdr:nvSpPr>
        <cdr:cNvPr id="3" name="ZoneTexte 2">
          <a:extLst xmlns:a="http://schemas.openxmlformats.org/drawingml/2006/main">
            <a:ext uri="{FF2B5EF4-FFF2-40B4-BE49-F238E27FC236}">
              <a16:creationId xmlns:a16="http://schemas.microsoft.com/office/drawing/2014/main" id="{9CA4A34E-60E6-3859-705E-D451E2F834D9}"/>
            </a:ext>
          </a:extLst>
        </cdr:cNvPr>
        <cdr:cNvSpPr txBox="1"/>
      </cdr:nvSpPr>
      <cdr:spPr>
        <a:xfrm xmlns:a="http://schemas.openxmlformats.org/drawingml/2006/main">
          <a:off x="862621" y="490527"/>
          <a:ext cx="773070" cy="3021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900">
              <a:solidFill>
                <a:srgbClr val="FF0000"/>
              </a:solidFill>
            </a:rPr>
            <a:t>r = -0.54 </a:t>
          </a:r>
        </a:p>
      </cdr:txBody>
    </cdr:sp>
  </cdr:relSizeAnchor>
  <cdr:relSizeAnchor xmlns:cdr="http://schemas.openxmlformats.org/drawingml/2006/chartDrawing">
    <cdr:from>
      <cdr:x>0.19437</cdr:x>
      <cdr:y>0.57463</cdr:y>
    </cdr:from>
    <cdr:to>
      <cdr:x>0.36235</cdr:x>
      <cdr:y>0.68387</cdr:y>
    </cdr:to>
    <cdr:sp macro="" textlink="">
      <cdr:nvSpPr>
        <cdr:cNvPr id="4" name="ZoneTexte 1">
          <a:extLst xmlns:a="http://schemas.openxmlformats.org/drawingml/2006/main">
            <a:ext uri="{FF2B5EF4-FFF2-40B4-BE49-F238E27FC236}">
              <a16:creationId xmlns:a16="http://schemas.microsoft.com/office/drawing/2014/main" id="{E9B3CC8F-68CA-F528-99C8-48E202CDAA8A}"/>
            </a:ext>
          </a:extLst>
        </cdr:cNvPr>
        <cdr:cNvSpPr txBox="1"/>
      </cdr:nvSpPr>
      <cdr:spPr>
        <a:xfrm xmlns:a="http://schemas.openxmlformats.org/drawingml/2006/main">
          <a:off x="893454" y="1570448"/>
          <a:ext cx="772158" cy="2985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>
              <a:solidFill>
                <a:srgbClr val="92D050"/>
              </a:solidFill>
            </a:rPr>
            <a:t>r = 0.43</a:t>
          </a:r>
        </a:p>
      </cdr:txBody>
    </cdr:sp>
  </cdr:relSizeAnchor>
  <cdr:relSizeAnchor xmlns:cdr="http://schemas.openxmlformats.org/drawingml/2006/chartDrawing">
    <cdr:from>
      <cdr:x>0.19291</cdr:x>
      <cdr:y>0.38585</cdr:y>
    </cdr:from>
    <cdr:to>
      <cdr:x>0.4338</cdr:x>
      <cdr:y>0.52599</cdr:y>
    </cdr:to>
    <cdr:sp macro="" textlink="">
      <cdr:nvSpPr>
        <cdr:cNvPr id="8" name="ZoneTexte 1">
          <a:extLst xmlns:a="http://schemas.openxmlformats.org/drawingml/2006/main">
            <a:ext uri="{FF2B5EF4-FFF2-40B4-BE49-F238E27FC236}">
              <a16:creationId xmlns:a16="http://schemas.microsoft.com/office/drawing/2014/main" id="{0FA9C62A-29AF-2BC2-D2AD-749E798E7841}"/>
            </a:ext>
          </a:extLst>
        </cdr:cNvPr>
        <cdr:cNvSpPr txBox="1"/>
      </cdr:nvSpPr>
      <cdr:spPr>
        <a:xfrm xmlns:a="http://schemas.openxmlformats.org/drawingml/2006/main">
          <a:off x="888059" y="1066800"/>
          <a:ext cx="1108967" cy="3874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>
              <a:solidFill>
                <a:schemeClr val="bg1">
                  <a:lumMod val="75000"/>
                </a:schemeClr>
              </a:solidFill>
            </a:rPr>
            <a:t>r = -0.27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Samuel Bassetto" id="{C385274C-04D3-5743-AC38-42B75ABC5BA8}" userId="S::samuel-jean.bassetto@polymtl.ca::d0d44b84-1556-4328-991a-284ef4f0e05b" providerId="AD"/>
</personList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23" dT="2025-11-04T21:46:00.34" personId="{C385274C-04D3-5743-AC38-42B75ABC5BA8}" id="{1EF4F63A-2498-2444-812D-0C4B58037158}">
    <text xml:space="preserve">On pourrait dire que GERME « fait croire » à un contrôle et protège ainsi contre l’LH. Mais après on voit que cela se dégrade. 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A4BA9-71B5-E545-BD9B-6DC245F2536B}">
  <dimension ref="A1:DO338"/>
  <sheetViews>
    <sheetView tabSelected="1" topLeftCell="A297" zoomScale="81" zoomScaleNormal="81" workbookViewId="0">
      <selection activeCell="F157" sqref="F157"/>
    </sheetView>
  </sheetViews>
  <sheetFormatPr baseColWidth="10" defaultRowHeight="16" x14ac:dyDescent="0.2"/>
  <cols>
    <col min="1" max="2" width="10.83203125" style="1"/>
    <col min="3" max="3" width="35.83203125" style="1" customWidth="1"/>
    <col min="4" max="4" width="10.83203125" style="1"/>
    <col min="5" max="5" width="39" style="1" customWidth="1"/>
    <col min="6" max="6" width="50.33203125" style="1" customWidth="1"/>
    <col min="7" max="7" width="10.83203125" style="1"/>
    <col min="8" max="8" width="27.33203125" style="1" customWidth="1"/>
    <col min="9" max="9" width="42.83203125" style="1" customWidth="1"/>
    <col min="10" max="10" width="18.33203125" style="1" customWidth="1"/>
    <col min="11" max="11" width="10.83203125" style="1"/>
    <col min="12" max="12" width="10.83203125" style="128"/>
    <col min="13" max="13" width="31.6640625" style="1" customWidth="1"/>
    <col min="14" max="14" width="10.83203125" style="1"/>
    <col min="15" max="15" width="23.5" style="1" customWidth="1"/>
    <col min="16" max="16" width="10.83203125" style="1"/>
    <col min="17" max="17" width="17.1640625" style="1" customWidth="1"/>
    <col min="18" max="18" width="19.5" style="1" customWidth="1"/>
    <col min="19" max="19" width="17.33203125" style="1" customWidth="1"/>
    <col min="20" max="20" width="12.6640625" style="1" customWidth="1"/>
    <col min="21" max="21" width="16" style="1" customWidth="1"/>
    <col min="22" max="22" width="16.1640625" style="1" customWidth="1"/>
    <col min="23" max="23" width="17.1640625" style="1" customWidth="1"/>
    <col min="24" max="24" width="10.83203125" style="1"/>
    <col min="25" max="25" width="12.6640625" style="1" customWidth="1"/>
    <col min="26" max="26" width="13.5" style="1" customWidth="1"/>
    <col min="27" max="29" width="10.83203125" style="1"/>
    <col min="30" max="30" width="18" style="1" customWidth="1"/>
    <col min="31" max="31" width="13" style="1" customWidth="1"/>
    <col min="32" max="32" width="16.6640625" style="1" customWidth="1"/>
    <col min="33" max="34" width="10.83203125" style="1" customWidth="1"/>
    <col min="35" max="35" width="10.83203125" style="1"/>
    <col min="36" max="36" width="17.5" style="1" customWidth="1"/>
    <col min="37" max="37" width="15.83203125" style="1" customWidth="1"/>
    <col min="38" max="38" width="15.6640625" style="1" customWidth="1"/>
    <col min="39" max="47" width="10.83203125" style="1"/>
    <col min="48" max="48" width="16.33203125" style="1" customWidth="1"/>
    <col min="49" max="49" width="15.6640625" style="1" customWidth="1"/>
    <col min="50" max="56" width="10.83203125" style="1"/>
    <col min="57" max="57" width="14" style="1" customWidth="1"/>
    <col min="58" max="58" width="18" style="1" customWidth="1"/>
    <col min="59" max="62" width="10.83203125" style="1"/>
    <col min="63" max="63" width="11" style="1" customWidth="1"/>
    <col min="64" max="70" width="10.83203125" style="1"/>
    <col min="71" max="71" width="15.83203125" style="1" customWidth="1"/>
    <col min="72" max="73" width="10.83203125" style="1"/>
    <col min="74" max="74" width="16.33203125" style="1" customWidth="1"/>
    <col min="75" max="16384" width="10.83203125" style="1"/>
  </cols>
  <sheetData>
    <row r="1" spans="1:119" ht="17" thickBot="1" x14ac:dyDescent="0.25"/>
    <row r="2" spans="1:119" ht="17" thickBot="1" x14ac:dyDescent="0.25">
      <c r="B2" s="1" t="s">
        <v>6</v>
      </c>
      <c r="C2" s="4" t="s">
        <v>7</v>
      </c>
      <c r="D2" s="18" t="s">
        <v>8</v>
      </c>
      <c r="E2" s="3" t="s">
        <v>37</v>
      </c>
      <c r="AW2" s="30" t="s">
        <v>74</v>
      </c>
      <c r="AX2" s="78">
        <v>5.7326474189754997</v>
      </c>
      <c r="AY2" s="116">
        <v>2.8110604289999999</v>
      </c>
      <c r="AZ2" s="116">
        <v>4.2386837010000002</v>
      </c>
      <c r="BA2" s="116">
        <v>3.490306854</v>
      </c>
      <c r="BB2" s="116">
        <v>4.6490738389999997</v>
      </c>
      <c r="BC2" s="116">
        <v>1.8124299049999999</v>
      </c>
      <c r="BD2" s="116">
        <v>6.722864628</v>
      </c>
      <c r="BE2" s="116">
        <v>6.7492830750000001</v>
      </c>
      <c r="BF2" s="116">
        <v>5.1499001980000001</v>
      </c>
      <c r="BG2" s="100">
        <v>20</v>
      </c>
      <c r="BH2" s="116">
        <v>10.886933089999999</v>
      </c>
      <c r="BI2" s="116">
        <v>4.7884624000000002</v>
      </c>
      <c r="BJ2" s="116">
        <v>2.0255961419999999</v>
      </c>
      <c r="BK2" s="100">
        <v>20</v>
      </c>
      <c r="BL2" s="100">
        <v>20</v>
      </c>
      <c r="BM2" s="98">
        <v>4.7009787559509846</v>
      </c>
      <c r="BN2" s="98">
        <v>6.8787989616399727</v>
      </c>
      <c r="BO2" s="98">
        <v>3.9430983066559975</v>
      </c>
      <c r="BP2" s="98">
        <v>3.5037875175469821</v>
      </c>
      <c r="BQ2" s="98">
        <v>1.7839119434349868</v>
      </c>
      <c r="BR2" s="98">
        <v>2.4327280521399643</v>
      </c>
      <c r="BS2" s="98">
        <v>19.596931219100998</v>
      </c>
      <c r="BT2" s="100">
        <v>20</v>
      </c>
      <c r="BU2" s="100">
        <v>20</v>
      </c>
      <c r="BV2" s="98">
        <v>16.944648265839</v>
      </c>
      <c r="BW2" s="100">
        <v>20</v>
      </c>
      <c r="BX2" s="100">
        <v>20</v>
      </c>
      <c r="BY2" s="100">
        <v>20</v>
      </c>
      <c r="BZ2" s="98">
        <v>3.3445065021514893</v>
      </c>
      <c r="CA2" s="98">
        <v>3.7603597640991353</v>
      </c>
      <c r="CB2" s="100">
        <v>20</v>
      </c>
      <c r="CC2" s="98">
        <v>2.5832610130309988</v>
      </c>
      <c r="CD2" s="98">
        <v>2.0698163509368825</v>
      </c>
      <c r="CE2" s="98">
        <v>1.6196081638336146</v>
      </c>
      <c r="CF2" s="91">
        <v>2.3074648380279079</v>
      </c>
      <c r="CG2" s="41">
        <v>20</v>
      </c>
      <c r="CH2" s="70">
        <v>3.8516030309999998</v>
      </c>
      <c r="CI2" s="70">
        <v>3.1743116379999998</v>
      </c>
      <c r="CJ2" s="99">
        <v>20</v>
      </c>
      <c r="CK2" s="70">
        <v>6.162629366</v>
      </c>
      <c r="CL2" s="70">
        <v>7.1531114579999997</v>
      </c>
      <c r="CM2" s="70">
        <v>8.1402437689999996</v>
      </c>
      <c r="CN2" s="70">
        <v>6.2666506770000003</v>
      </c>
      <c r="CO2" s="70">
        <v>9.2277555469999992</v>
      </c>
      <c r="CP2" s="70">
        <v>3.1448078160000001</v>
      </c>
      <c r="CQ2" s="70">
        <v>3.8519842620000002</v>
      </c>
      <c r="CR2" s="70">
        <v>8.6273071770000005</v>
      </c>
      <c r="CS2" s="70">
        <v>3.6350617409999999</v>
      </c>
      <c r="CT2" s="69">
        <v>16.158235788345991</v>
      </c>
      <c r="CU2" s="69">
        <v>16.20467805862404</v>
      </c>
      <c r="CV2" s="69">
        <v>5.7971580028499829</v>
      </c>
      <c r="CW2" s="69">
        <v>17.809106588363989</v>
      </c>
      <c r="CX2" s="99">
        <v>20</v>
      </c>
      <c r="CY2" s="99">
        <v>20</v>
      </c>
      <c r="CZ2" s="69">
        <v>14.395035982132015</v>
      </c>
      <c r="DA2" s="99">
        <v>20</v>
      </c>
      <c r="DB2" s="69">
        <v>18.655852794648013</v>
      </c>
      <c r="DC2" s="99">
        <v>20</v>
      </c>
      <c r="DD2" s="69">
        <v>14.275756597518011</v>
      </c>
      <c r="DE2" s="99">
        <v>20</v>
      </c>
      <c r="DF2" s="69">
        <v>9.6375489234930001</v>
      </c>
      <c r="DG2" s="99">
        <v>20</v>
      </c>
      <c r="DH2" s="69">
        <v>14.246892929078001</v>
      </c>
      <c r="DI2" s="69">
        <v>3.2837228775019867</v>
      </c>
      <c r="DJ2" s="69">
        <v>13.564145803460178</v>
      </c>
      <c r="DK2" s="99">
        <v>20</v>
      </c>
      <c r="DL2" s="99">
        <v>20</v>
      </c>
      <c r="DM2" s="99">
        <v>20</v>
      </c>
      <c r="DN2" s="69">
        <v>19.990506649016993</v>
      </c>
      <c r="DO2" s="117">
        <v>20</v>
      </c>
    </row>
    <row r="3" spans="1:119" ht="17" thickBot="1" x14ac:dyDescent="0.25">
      <c r="A3" s="1" t="s">
        <v>169</v>
      </c>
      <c r="B3" s="1" t="s">
        <v>170</v>
      </c>
      <c r="C3" s="1" t="s">
        <v>171</v>
      </c>
      <c r="D3" s="1" t="s">
        <v>172</v>
      </c>
      <c r="E3" s="1" t="s">
        <v>173</v>
      </c>
      <c r="G3" s="1" t="s">
        <v>228</v>
      </c>
      <c r="R3" s="1" t="s">
        <v>54</v>
      </c>
      <c r="S3" s="1">
        <f>7</f>
        <v>7</v>
      </c>
      <c r="U3" s="1" t="s">
        <v>58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1</v>
      </c>
      <c r="CH3" s="1">
        <v>1</v>
      </c>
      <c r="CI3" s="1">
        <v>1</v>
      </c>
      <c r="CJ3" s="1">
        <v>1</v>
      </c>
      <c r="CK3" s="1">
        <v>1</v>
      </c>
      <c r="CL3" s="1">
        <v>1</v>
      </c>
      <c r="CM3" s="1">
        <v>1</v>
      </c>
      <c r="CN3" s="1">
        <v>1</v>
      </c>
      <c r="CO3" s="1">
        <v>1</v>
      </c>
      <c r="CP3" s="1">
        <v>1</v>
      </c>
      <c r="CQ3" s="1">
        <v>1</v>
      </c>
      <c r="CR3" s="1">
        <v>1</v>
      </c>
      <c r="CS3" s="1">
        <v>1</v>
      </c>
      <c r="CT3" s="1">
        <v>1</v>
      </c>
      <c r="CU3" s="1">
        <v>1</v>
      </c>
      <c r="CV3" s="1">
        <v>1</v>
      </c>
      <c r="CW3" s="1">
        <v>1</v>
      </c>
      <c r="CX3" s="1">
        <v>1</v>
      </c>
      <c r="CY3" s="1">
        <v>1</v>
      </c>
      <c r="CZ3" s="1">
        <v>1</v>
      </c>
      <c r="DA3" s="1">
        <v>1</v>
      </c>
      <c r="DB3" s="1">
        <v>1</v>
      </c>
      <c r="DC3" s="1">
        <v>1</v>
      </c>
      <c r="DD3" s="1">
        <v>1</v>
      </c>
      <c r="DE3" s="1">
        <v>1</v>
      </c>
      <c r="DF3" s="1">
        <v>1</v>
      </c>
      <c r="DG3" s="1">
        <v>1</v>
      </c>
      <c r="DH3" s="1">
        <v>1</v>
      </c>
      <c r="DI3" s="1">
        <v>1</v>
      </c>
      <c r="DJ3" s="1">
        <v>1</v>
      </c>
      <c r="DK3" s="1">
        <v>1</v>
      </c>
      <c r="DL3" s="1">
        <v>1</v>
      </c>
      <c r="DM3" s="1">
        <v>1</v>
      </c>
      <c r="DN3" s="1">
        <v>1</v>
      </c>
      <c r="DO3" s="1">
        <v>1</v>
      </c>
    </row>
    <row r="4" spans="1:119" ht="35" thickBot="1" x14ac:dyDescent="0.25">
      <c r="A4" s="1">
        <v>3.88888888888888</v>
      </c>
      <c r="B4" s="1">
        <v>3.75</v>
      </c>
      <c r="C4" s="1">
        <v>2.6666666666666599</v>
      </c>
      <c r="D4" s="1">
        <v>3.5416666666666599</v>
      </c>
      <c r="E4" s="1">
        <v>1.94444444444444</v>
      </c>
      <c r="G4" s="1">
        <v>1</v>
      </c>
      <c r="H4" s="30" t="s">
        <v>45</v>
      </c>
      <c r="I4" s="31" t="s">
        <v>46</v>
      </c>
      <c r="J4" s="32" t="s">
        <v>47</v>
      </c>
      <c r="K4" s="1" t="s">
        <v>224</v>
      </c>
      <c r="L4" s="131" t="s">
        <v>226</v>
      </c>
      <c r="M4" s="23" t="s">
        <v>0</v>
      </c>
      <c r="O4" s="1" t="s">
        <v>1</v>
      </c>
      <c r="R4" s="1" t="s">
        <v>57</v>
      </c>
      <c r="S4" s="97">
        <f>SUM(I20,I84,I180,I250,I107,I277,I304)/S3</f>
        <v>3.7142857142857144</v>
      </c>
      <c r="U4" s="23"/>
      <c r="V4" s="30" t="s">
        <v>41</v>
      </c>
      <c r="W4" s="31"/>
      <c r="X4" s="31">
        <f>S3</f>
        <v>7</v>
      </c>
      <c r="Y4" s="32"/>
      <c r="Z4" s="31" t="s">
        <v>59</v>
      </c>
      <c r="AA4" s="31"/>
      <c r="AB4" s="31">
        <f>S6</f>
        <v>7</v>
      </c>
      <c r="AC4" s="32"/>
      <c r="CP4" s="1" t="s">
        <v>221</v>
      </c>
    </row>
    <row r="5" spans="1:119" x14ac:dyDescent="0.2">
      <c r="B5" s="1" t="s">
        <v>6</v>
      </c>
      <c r="C5" s="4" t="s">
        <v>7</v>
      </c>
      <c r="D5" s="18" t="s">
        <v>8</v>
      </c>
      <c r="E5" s="3" t="s">
        <v>37</v>
      </c>
      <c r="AW5" s="30" t="s">
        <v>74</v>
      </c>
      <c r="AX5" s="78">
        <v>5.7326474189754997</v>
      </c>
      <c r="AY5" s="116">
        <v>2.8110604289999999</v>
      </c>
      <c r="AZ5" s="116">
        <v>4.2386837010000002</v>
      </c>
      <c r="BA5" s="116">
        <v>3.490306854</v>
      </c>
      <c r="BB5" s="116">
        <v>4.6490738389999997</v>
      </c>
      <c r="BC5" s="116">
        <v>1.8124299049999999</v>
      </c>
      <c r="BD5" s="116">
        <v>6.722864628</v>
      </c>
      <c r="BE5" s="116">
        <v>6.7492830750000001</v>
      </c>
      <c r="BF5" s="116">
        <v>5.1499001980000001</v>
      </c>
      <c r="BG5" s="116">
        <v>10.886933089999999</v>
      </c>
      <c r="BH5" s="116">
        <v>4.7884624000000002</v>
      </c>
      <c r="BI5" s="116">
        <v>2.0255961419999999</v>
      </c>
      <c r="BJ5" s="98">
        <v>4.7009787559509846</v>
      </c>
      <c r="BK5" s="98">
        <v>6.8787989616399727</v>
      </c>
      <c r="BL5" s="98">
        <v>3.9430983066559975</v>
      </c>
      <c r="BM5" s="98">
        <v>3.5037875175469821</v>
      </c>
      <c r="BN5" s="98">
        <v>1.7839119434349868</v>
      </c>
      <c r="BO5" s="98">
        <v>2.4327280521399643</v>
      </c>
      <c r="BP5" s="98">
        <v>19.596931219100998</v>
      </c>
      <c r="BQ5" s="98">
        <v>16.944648265839</v>
      </c>
      <c r="BR5" s="98">
        <v>3.3445065021514893</v>
      </c>
      <c r="BS5" s="98">
        <v>3.7603597640991353</v>
      </c>
      <c r="BT5" s="98">
        <v>2.5832610130309988</v>
      </c>
      <c r="BU5" s="98">
        <v>2.0698163509368825</v>
      </c>
      <c r="BV5" s="98">
        <v>1.6196081638336146</v>
      </c>
      <c r="CP5" s="1">
        <f>AVERAGE(AX5:BV5)</f>
        <v>5.2887870598534592</v>
      </c>
      <c r="CQ5" s="1">
        <f>AVERAGE(AX2:CF2)</f>
        <v>8.9864897524104119</v>
      </c>
    </row>
    <row r="6" spans="1:119" ht="17" thickBot="1" x14ac:dyDescent="0.25">
      <c r="A6" s="1" t="s">
        <v>169</v>
      </c>
      <c r="B6" s="1" t="s">
        <v>170</v>
      </c>
      <c r="C6" s="1" t="s">
        <v>171</v>
      </c>
      <c r="D6" s="1" t="s">
        <v>172</v>
      </c>
      <c r="E6" s="1" t="s">
        <v>173</v>
      </c>
      <c r="R6" s="1" t="s">
        <v>54</v>
      </c>
      <c r="S6" s="1">
        <f>7</f>
        <v>7</v>
      </c>
      <c r="U6" s="1" t="s">
        <v>58</v>
      </c>
      <c r="AX6" s="91">
        <v>2.3074648380279079</v>
      </c>
      <c r="AY6" s="70">
        <v>3.8516030309999998</v>
      </c>
      <c r="AZ6" s="70">
        <v>3.1743116379999998</v>
      </c>
      <c r="BA6" s="70">
        <v>6.162629366</v>
      </c>
      <c r="BB6" s="70">
        <v>7.1531114579999997</v>
      </c>
      <c r="BC6" s="70">
        <v>8.1402437689999996</v>
      </c>
      <c r="BD6" s="70">
        <v>6.2666506770000003</v>
      </c>
      <c r="BE6" s="70">
        <v>9.2277555469999992</v>
      </c>
      <c r="BF6" s="70">
        <v>3.1448078160000001</v>
      </c>
      <c r="BG6" s="70">
        <v>3.8519842620000002</v>
      </c>
      <c r="BH6" s="70">
        <v>8.6273071770000005</v>
      </c>
      <c r="BI6" s="70">
        <v>3.6350617409999999</v>
      </c>
      <c r="BJ6" s="69">
        <v>16.158235788345991</v>
      </c>
      <c r="BK6" s="69">
        <v>16.20467805862404</v>
      </c>
      <c r="BL6" s="69">
        <v>5.7971580028499829</v>
      </c>
      <c r="BM6" s="69">
        <v>17.809106588363989</v>
      </c>
      <c r="BN6" s="69">
        <v>14.395035982132015</v>
      </c>
      <c r="BO6" s="69">
        <v>18.655852794648013</v>
      </c>
      <c r="BP6" s="69">
        <v>14.275756597518011</v>
      </c>
      <c r="BQ6" s="69">
        <v>9.6375489234930001</v>
      </c>
      <c r="BR6" s="69">
        <v>14.246892929078001</v>
      </c>
      <c r="BS6" s="69">
        <v>3.2837228775019867</v>
      </c>
      <c r="BT6" s="69">
        <v>13.564145803460178</v>
      </c>
      <c r="BU6" s="69">
        <v>19.990506649016993</v>
      </c>
      <c r="CP6" s="1">
        <f>AVERAGE(AX6:BU6)</f>
        <v>9.5650655131275055</v>
      </c>
      <c r="CQ6" s="1">
        <f>AVERAGE(CG2:DO2)</f>
        <v>13.350117356486635</v>
      </c>
    </row>
    <row r="7" spans="1:119" x14ac:dyDescent="0.2">
      <c r="B7" s="24" t="s">
        <v>26</v>
      </c>
      <c r="C7" s="27">
        <f>H5-M5</f>
        <v>0</v>
      </c>
      <c r="D7" s="44">
        <f>I5-H5</f>
        <v>0</v>
      </c>
      <c r="E7" s="28">
        <v>1</v>
      </c>
      <c r="F7" s="128" t="s">
        <v>233</v>
      </c>
      <c r="G7" s="60" t="s">
        <v>13</v>
      </c>
      <c r="H7" s="87">
        <f>H6+20</f>
        <v>20</v>
      </c>
      <c r="I7" s="61">
        <v>130.51210427284201</v>
      </c>
      <c r="J7" s="8">
        <f t="shared" ref="J7:J19" si="0">IF(I7,I7-H7,FALSE)</f>
        <v>110.51210427284201</v>
      </c>
      <c r="L7" s="128" t="s">
        <v>227</v>
      </c>
      <c r="M7" s="25">
        <v>413.87210249900801</v>
      </c>
      <c r="R7" s="1" t="s">
        <v>56</v>
      </c>
      <c r="S7" s="97">
        <f>SUM(I41,I62,I135,I157,I200,I221,I332)/S6</f>
        <v>3.4285714285714284</v>
      </c>
      <c r="U7" s="25" t="s">
        <v>16</v>
      </c>
      <c r="V7" s="57">
        <f>SUM(D28,D68,D170,D242)/S3</f>
        <v>4.498599358967466</v>
      </c>
      <c r="W7" s="81">
        <f>STDEV(D12,D72,D170,D242)</f>
        <v>4.5483747357481459</v>
      </c>
      <c r="X7" s="1">
        <v>4</v>
      </c>
      <c r="Y7" s="56" t="e">
        <f t="shared" ref="Y7:Y10" si="1">X7/X5</f>
        <v>#DIV/0!</v>
      </c>
      <c r="Z7" s="45">
        <f>SUM(D28,D49,D122,D156,D194)/5</f>
        <v>7.5433595180510107</v>
      </c>
      <c r="AA7" s="1">
        <f>STDEV(D28,D49,D72,D122,D156,D194)</f>
        <v>2.5908087544363818</v>
      </c>
      <c r="AC7" s="56"/>
    </row>
    <row r="8" spans="1:119" x14ac:dyDescent="0.2">
      <c r="B8" s="26" t="s">
        <v>27</v>
      </c>
      <c r="C8" s="13">
        <f>H6-M5</f>
        <v>0</v>
      </c>
      <c r="D8" s="45">
        <f>I6-H6</f>
        <v>0</v>
      </c>
      <c r="E8" s="2">
        <v>1</v>
      </c>
      <c r="G8" s="60" t="s">
        <v>28</v>
      </c>
      <c r="H8" s="86">
        <v>273.448920249938</v>
      </c>
      <c r="I8" s="62">
        <v>288.82819056510903</v>
      </c>
      <c r="J8" s="8">
        <f t="shared" si="0"/>
        <v>15.379270315171027</v>
      </c>
      <c r="L8" s="128">
        <f t="shared" ref="L8:L19" si="2">IF(J8=FALSE,20,J8)</f>
        <v>15.379270315171027</v>
      </c>
      <c r="M8" s="25">
        <v>580.51812863349903</v>
      </c>
      <c r="R8" s="1" t="s">
        <v>55</v>
      </c>
      <c r="S8" s="1">
        <f>STDEV(I41,I62,I135,I157,I200)</f>
        <v>1.5165750888103104</v>
      </c>
      <c r="U8" s="25" t="s">
        <v>19</v>
      </c>
      <c r="V8" s="57">
        <f>SUM(D76,D174,D246)/3</f>
        <v>4.0492881933846547</v>
      </c>
      <c r="W8" s="81">
        <f>STDEV(D76,D174,D246)</f>
        <v>0.60561863772543334</v>
      </c>
      <c r="X8" s="1">
        <v>3</v>
      </c>
      <c r="Y8" s="56" t="e">
        <f t="shared" si="1"/>
        <v>#DIV/0!</v>
      </c>
      <c r="Z8" s="45">
        <f>SUM(D30,D51,D124)/3</f>
        <v>13.27031421661267</v>
      </c>
      <c r="AA8" s="1">
        <f>STDEV(D30,D51,D76,D124)</f>
        <v>6.8345768906955016</v>
      </c>
      <c r="AC8" s="56"/>
      <c r="BW8" s="1" t="s">
        <v>174</v>
      </c>
    </row>
    <row r="9" spans="1:119" ht="17" thickBot="1" x14ac:dyDescent="0.25">
      <c r="B9" s="26" t="s">
        <v>13</v>
      </c>
      <c r="C9" s="14">
        <f>H7-M5</f>
        <v>20</v>
      </c>
      <c r="D9" s="46">
        <f>I7-H7</f>
        <v>110.51210427284201</v>
      </c>
      <c r="E9" s="16">
        <v>1</v>
      </c>
      <c r="G9" s="60" t="s">
        <v>29</v>
      </c>
      <c r="H9" s="9">
        <f>H8+20</f>
        <v>293.448920249938</v>
      </c>
      <c r="I9" s="7" t="b">
        <f>FALSE</f>
        <v>0</v>
      </c>
      <c r="J9" s="8" t="b">
        <f t="shared" si="0"/>
        <v>0</v>
      </c>
      <c r="K9" s="1" t="s">
        <v>225</v>
      </c>
      <c r="L9" s="128">
        <f t="shared" si="2"/>
        <v>20</v>
      </c>
      <c r="M9" s="29">
        <v>750.26220488548199</v>
      </c>
      <c r="U9" s="25" t="s">
        <v>22</v>
      </c>
      <c r="V9" s="57">
        <f>SUM(D17,D177)/2</f>
        <v>14.083224058150961</v>
      </c>
      <c r="W9" s="81">
        <f>STDEV(D17,D177)</f>
        <v>7.7975594459691306</v>
      </c>
      <c r="X9" s="1">
        <v>2</v>
      </c>
      <c r="Y9" s="56">
        <f t="shared" si="1"/>
        <v>0.5</v>
      </c>
      <c r="Z9" s="45">
        <f>SUM(D32,D53,D126,D196)/4</f>
        <v>14.033326029779801</v>
      </c>
      <c r="AA9" s="1">
        <f>STDEV(D32,D53,D126,D196)</f>
        <v>3.6954707740251092</v>
      </c>
      <c r="AC9" s="56"/>
    </row>
    <row r="10" spans="1:119" ht="17" thickBot="1" x14ac:dyDescent="0.25">
      <c r="D10" s="45"/>
      <c r="G10" s="60" t="s">
        <v>16</v>
      </c>
      <c r="H10" s="9">
        <f>H9+20</f>
        <v>313.448920249938</v>
      </c>
      <c r="I10" s="5">
        <v>320.19820332527098</v>
      </c>
      <c r="J10" s="8">
        <f t="shared" si="0"/>
        <v>6.7492830753329827</v>
      </c>
      <c r="L10" s="128">
        <f t="shared" si="2"/>
        <v>6.7492830753329827</v>
      </c>
      <c r="R10" s="1" t="s">
        <v>64</v>
      </c>
      <c r="S10" s="1">
        <f>S4-S7</f>
        <v>0.28571428571428603</v>
      </c>
      <c r="U10" s="82" t="s">
        <v>25</v>
      </c>
      <c r="V10" s="83">
        <f>SUM(D7,D66,D166,D236)/S3</f>
        <v>2.0018993786403039</v>
      </c>
      <c r="W10" s="84">
        <f>STDEV(D7,D66,D166,D236)</f>
        <v>3.1908380264372163</v>
      </c>
      <c r="X10" s="19"/>
      <c r="Y10" s="85">
        <f t="shared" si="1"/>
        <v>0</v>
      </c>
      <c r="Z10" s="46">
        <f>SUM(D34,)</f>
        <v>3.2837228775019867</v>
      </c>
      <c r="AA10" s="19"/>
      <c r="AB10" s="19"/>
      <c r="AC10" s="85"/>
      <c r="AV10" s="109" t="s">
        <v>113</v>
      </c>
      <c r="BE10" s="109" t="s">
        <v>115</v>
      </c>
    </row>
    <row r="11" spans="1:119" ht="17" thickBot="1" x14ac:dyDescent="0.25">
      <c r="B11" s="24" t="s">
        <v>28</v>
      </c>
      <c r="C11" s="30">
        <f>H8-M6</f>
        <v>273.448920249938</v>
      </c>
      <c r="D11" s="47">
        <f>I8-H8</f>
        <v>15.379270315171027</v>
      </c>
      <c r="E11" s="32">
        <v>1</v>
      </c>
      <c r="G11" s="60" t="s">
        <v>30</v>
      </c>
      <c r="H11" s="86">
        <v>417.87210249900801</v>
      </c>
      <c r="I11" s="62" t="b">
        <f>FALSE</f>
        <v>0</v>
      </c>
      <c r="J11" s="8" t="b">
        <f t="shared" si="0"/>
        <v>0</v>
      </c>
      <c r="K11" s="1" t="s">
        <v>225</v>
      </c>
      <c r="L11" s="128">
        <f t="shared" si="2"/>
        <v>20</v>
      </c>
      <c r="M11" s="1" t="s">
        <v>222</v>
      </c>
      <c r="R11" s="1" t="s">
        <v>65</v>
      </c>
      <c r="S11" s="1">
        <f>S5^2/S3+S8^2/S6</f>
        <v>0.32857142857142874</v>
      </c>
      <c r="AE11" s="109" t="s">
        <v>86</v>
      </c>
      <c r="AJ11" s="109" t="s">
        <v>89</v>
      </c>
      <c r="AU11" s="1" t="s">
        <v>232</v>
      </c>
      <c r="AV11" s="7">
        <v>9</v>
      </c>
      <c r="AW11" s="1">
        <v>11</v>
      </c>
      <c r="BE11" s="7"/>
      <c r="BS11" s="1" t="s">
        <v>177</v>
      </c>
      <c r="BT11" s="1" t="s">
        <v>178</v>
      </c>
      <c r="BU11" s="1" t="s">
        <v>179</v>
      </c>
      <c r="BV11" s="1" t="s">
        <v>180</v>
      </c>
      <c r="BW11" s="1" t="s">
        <v>181</v>
      </c>
      <c r="BX11" s="1" t="s">
        <v>175</v>
      </c>
      <c r="BY11" s="1" t="s">
        <v>176</v>
      </c>
      <c r="BZ11" s="1" t="s">
        <v>182</v>
      </c>
      <c r="CA11" s="1" t="s">
        <v>183</v>
      </c>
      <c r="CB11" s="1" t="s">
        <v>184</v>
      </c>
      <c r="CC11" s="1" t="s">
        <v>185</v>
      </c>
      <c r="CD11" s="1" t="s">
        <v>186</v>
      </c>
    </row>
    <row r="12" spans="1:119" ht="17" thickBot="1" x14ac:dyDescent="0.25">
      <c r="B12" s="33" t="s">
        <v>16</v>
      </c>
      <c r="C12" s="14">
        <f>H10-M6</f>
        <v>313.448920249938</v>
      </c>
      <c r="D12" s="46">
        <f>I10-H10</f>
        <v>6.7492830753329827</v>
      </c>
      <c r="E12" s="16">
        <v>1</v>
      </c>
      <c r="G12" s="60" t="s">
        <v>31</v>
      </c>
      <c r="H12" s="9">
        <f>H11+20</f>
        <v>437.87210249900801</v>
      </c>
      <c r="I12" s="7">
        <v>441.029893398284</v>
      </c>
      <c r="J12" s="8">
        <f t="shared" si="0"/>
        <v>3.1577908992759944</v>
      </c>
      <c r="L12" s="128">
        <f t="shared" si="2"/>
        <v>3.1577908992759944</v>
      </c>
      <c r="M12" s="1">
        <f>4/5</f>
        <v>0.8</v>
      </c>
      <c r="S12" s="58">
        <f>NORMDIST(0,S10,S11,1)</f>
        <v>0.19226902649831148</v>
      </c>
      <c r="AE12" s="108"/>
      <c r="AU12" s="7"/>
      <c r="AV12" s="30" t="s">
        <v>74</v>
      </c>
      <c r="AW12" s="32" t="s">
        <v>75</v>
      </c>
      <c r="BD12" s="7"/>
      <c r="BE12" s="30" t="s">
        <v>74</v>
      </c>
      <c r="BF12" s="32" t="s">
        <v>75</v>
      </c>
      <c r="BS12" s="1">
        <v>3.88888888888888</v>
      </c>
      <c r="BT12" s="1">
        <v>3.75</v>
      </c>
      <c r="BU12" s="1">
        <v>2.6666666666666599</v>
      </c>
      <c r="BV12" s="1">
        <v>3.5416666666666599</v>
      </c>
      <c r="BW12" s="1">
        <v>1.94444444444444</v>
      </c>
      <c r="BX12" s="1">
        <f t="shared" ref="BX12:BX18" si="3">AVERAGE(AV13,AV20,AV27,AV34,AV41)</f>
        <v>11.084673643045587</v>
      </c>
      <c r="BY12" s="1">
        <f t="shared" ref="BY12:BY18" si="4">AVERAGE(AW13,AW20,AW27,AW34,AW41)</f>
        <v>11.10272610194351</v>
      </c>
      <c r="BZ12" s="1">
        <v>4.4444444444444402</v>
      </c>
      <c r="CA12" s="1">
        <v>2.6973684210526301</v>
      </c>
      <c r="CB12" s="1">
        <v>1.9166666666666601</v>
      </c>
      <c r="CC12" s="45">
        <v>2.9861111111111098</v>
      </c>
      <c r="CD12" s="1">
        <v>2.2916666666666599</v>
      </c>
    </row>
    <row r="13" spans="1:119" ht="17" thickBot="1" x14ac:dyDescent="0.25">
      <c r="D13" s="45"/>
      <c r="G13" s="60" t="s">
        <v>19</v>
      </c>
      <c r="H13" s="87">
        <f>H12+20</f>
        <v>457.87210249900801</v>
      </c>
      <c r="I13" s="64" t="b">
        <f>FALSE</f>
        <v>0</v>
      </c>
      <c r="J13" s="8" t="b">
        <f t="shared" si="0"/>
        <v>0</v>
      </c>
      <c r="K13" s="1" t="s">
        <v>225</v>
      </c>
      <c r="L13" s="128">
        <f t="shared" si="2"/>
        <v>20</v>
      </c>
      <c r="AK13" s="1" t="s">
        <v>110</v>
      </c>
      <c r="AL13" s="1" t="s">
        <v>111</v>
      </c>
      <c r="AV13" s="78">
        <v>5.7326474189754997</v>
      </c>
      <c r="AW13" s="41"/>
      <c r="AX13" s="1" t="s">
        <v>60</v>
      </c>
      <c r="BE13" s="78">
        <v>5.7326474189754997</v>
      </c>
      <c r="BF13" s="41"/>
      <c r="BG13" s="1">
        <v>0</v>
      </c>
      <c r="BH13" s="1">
        <v>1</v>
      </c>
      <c r="BI13" s="1" t="s">
        <v>60</v>
      </c>
      <c r="BS13" s="1">
        <v>3.3333333333333299</v>
      </c>
      <c r="BT13" s="1">
        <v>2.7631578947368398</v>
      </c>
      <c r="BU13" s="1">
        <v>3.6666666666666599</v>
      </c>
      <c r="BV13" s="1">
        <v>3.75</v>
      </c>
      <c r="BW13" s="1">
        <v>1.94444444444444</v>
      </c>
      <c r="BX13" s="1">
        <f t="shared" si="3"/>
        <v>7.2844598294100233</v>
      </c>
      <c r="BY13" s="1">
        <f t="shared" si="4"/>
        <v>10.488132476862031</v>
      </c>
      <c r="BZ13" s="1">
        <v>3.6111111111111098</v>
      </c>
      <c r="CA13" s="1">
        <v>3.1578947368421</v>
      </c>
      <c r="CB13" s="1">
        <v>3.8333333333333299</v>
      </c>
      <c r="CC13" s="1">
        <v>3.8194444444444402</v>
      </c>
      <c r="CD13" s="1">
        <v>1.4583333333333299</v>
      </c>
    </row>
    <row r="14" spans="1:119" ht="17" thickBot="1" x14ac:dyDescent="0.25">
      <c r="B14" s="51" t="s">
        <v>31</v>
      </c>
      <c r="C14" s="20">
        <f>H12-M7</f>
        <v>24</v>
      </c>
      <c r="D14" s="48">
        <f>I12-H12</f>
        <v>3.1577908992759944</v>
      </c>
      <c r="E14" s="22">
        <v>1</v>
      </c>
      <c r="G14" s="60" t="s">
        <v>32</v>
      </c>
      <c r="H14" s="9">
        <v>584.51812863349903</v>
      </c>
      <c r="I14" s="7">
        <v>592.72624850273098</v>
      </c>
      <c r="J14" s="8">
        <f t="shared" si="0"/>
        <v>8.2081198692319504</v>
      </c>
      <c r="L14" s="128">
        <f t="shared" si="2"/>
        <v>8.2081198692319504</v>
      </c>
      <c r="AE14" s="105" t="s">
        <v>82</v>
      </c>
      <c r="AF14" s="106" t="s">
        <v>59</v>
      </c>
      <c r="AI14" s="110" t="s">
        <v>90</v>
      </c>
      <c r="AJ14" s="105" t="s">
        <v>82</v>
      </c>
      <c r="AK14" s="106" t="s">
        <v>59</v>
      </c>
      <c r="AL14" s="106" t="s">
        <v>59</v>
      </c>
      <c r="AM14" s="113" t="s">
        <v>90</v>
      </c>
      <c r="AV14" s="116">
        <v>2.8110604289999999</v>
      </c>
      <c r="AW14" s="70">
        <v>3.8516030309999998</v>
      </c>
      <c r="BE14" s="116">
        <v>2.8110604289999999</v>
      </c>
      <c r="BF14" s="70">
        <v>3.8516030309999998</v>
      </c>
      <c r="BG14" s="1">
        <v>0</v>
      </c>
      <c r="BH14" s="1">
        <v>1</v>
      </c>
      <c r="BS14" s="1">
        <v>4.1666666666666599</v>
      </c>
      <c r="BT14" s="1">
        <v>3.9473684210526301</v>
      </c>
      <c r="BU14" s="1">
        <v>2.5</v>
      </c>
      <c r="BV14" s="1">
        <v>3.9583333333333299</v>
      </c>
      <c r="BW14" s="1">
        <v>2.7083333333333299</v>
      </c>
      <c r="BX14" s="1">
        <f t="shared" si="3"/>
        <v>14.223496532527994</v>
      </c>
      <c r="BY14" s="1">
        <f t="shared" si="4"/>
        <v>11.680796527976401</v>
      </c>
      <c r="BZ14" s="1">
        <v>2.3611111111111098</v>
      </c>
      <c r="CA14" s="1">
        <v>3.0263157894736801</v>
      </c>
      <c r="CB14" s="1">
        <v>2.5</v>
      </c>
      <c r="CC14" s="1">
        <v>3.3333333333333299</v>
      </c>
      <c r="CD14" s="1">
        <v>2.0833333333333299</v>
      </c>
    </row>
    <row r="15" spans="1:119" ht="17" thickBot="1" x14ac:dyDescent="0.25">
      <c r="D15" s="45"/>
      <c r="G15" s="60" t="s">
        <v>22</v>
      </c>
      <c r="H15" s="9">
        <f>H14+20</f>
        <v>604.51812863349903</v>
      </c>
      <c r="I15" s="5">
        <v>624.11505985259998</v>
      </c>
      <c r="J15" s="8">
        <f t="shared" si="0"/>
        <v>19.596931219100952</v>
      </c>
      <c r="L15" s="128">
        <f t="shared" si="2"/>
        <v>19.596931219100952</v>
      </c>
      <c r="AE15" s="78">
        <v>1</v>
      </c>
      <c r="AF15" s="72">
        <v>1</v>
      </c>
      <c r="AG15" s="1" t="s">
        <v>60</v>
      </c>
      <c r="AI15" s="111">
        <v>1</v>
      </c>
      <c r="AJ15" s="13">
        <v>0</v>
      </c>
      <c r="AK15" s="2">
        <v>2</v>
      </c>
      <c r="AL15" s="2">
        <v>1</v>
      </c>
      <c r="AM15" s="114">
        <v>2</v>
      </c>
      <c r="AV15" s="116">
        <v>4.2386837010000002</v>
      </c>
      <c r="AW15" s="70">
        <v>3.1743116379999998</v>
      </c>
      <c r="BE15" s="116">
        <v>4.2386837010000002</v>
      </c>
      <c r="BF15" s="70">
        <v>3.1743116379999998</v>
      </c>
      <c r="BG15" s="1">
        <v>0</v>
      </c>
      <c r="BH15" s="1">
        <v>1</v>
      </c>
      <c r="BS15" s="1">
        <v>5</v>
      </c>
      <c r="BT15" s="1">
        <v>2.6973684210526301</v>
      </c>
      <c r="BU15" s="1">
        <v>2.8333333333333299</v>
      </c>
      <c r="BV15" s="1">
        <v>4.1666666666666599</v>
      </c>
      <c r="BW15" s="1">
        <v>2.1527777777777701</v>
      </c>
      <c r="BX15" s="1">
        <f t="shared" si="3"/>
        <v>7.5696495059051916</v>
      </c>
      <c r="BY15" s="1">
        <f t="shared" si="4"/>
        <v>16.770396852400001</v>
      </c>
      <c r="BZ15" s="1">
        <v>3.1944444444444402</v>
      </c>
      <c r="CA15" s="1">
        <v>3.2894736842105199</v>
      </c>
      <c r="CB15" s="1">
        <v>2.25</v>
      </c>
      <c r="CC15" s="1">
        <v>2.63888888888888</v>
      </c>
      <c r="CD15" s="1">
        <v>2.8472222222222201</v>
      </c>
    </row>
    <row r="16" spans="1:119" x14ac:dyDescent="0.2">
      <c r="B16" s="24" t="s">
        <v>32</v>
      </c>
      <c r="C16" s="30">
        <f>H14-$M$8</f>
        <v>4</v>
      </c>
      <c r="D16" s="47">
        <f>I14-H14</f>
        <v>8.2081198692319504</v>
      </c>
      <c r="E16" s="32">
        <v>1</v>
      </c>
      <c r="G16" s="60" t="s">
        <v>33</v>
      </c>
      <c r="H16" s="87">
        <f>H15+20</f>
        <v>624.51812863349903</v>
      </c>
      <c r="I16" s="63">
        <v>644.38860154151905</v>
      </c>
      <c r="J16" s="8">
        <f t="shared" si="0"/>
        <v>19.87047290802002</v>
      </c>
      <c r="L16" s="128">
        <f t="shared" si="2"/>
        <v>19.87047290802002</v>
      </c>
      <c r="R16" s="23" t="s">
        <v>74</v>
      </c>
      <c r="S16" s="31">
        <v>4</v>
      </c>
      <c r="T16" s="31">
        <v>4</v>
      </c>
      <c r="U16" s="31">
        <v>5</v>
      </c>
      <c r="V16" s="31">
        <v>4</v>
      </c>
      <c r="W16" s="31">
        <v>2</v>
      </c>
      <c r="X16" s="31">
        <v>4</v>
      </c>
      <c r="Y16" s="32">
        <v>3</v>
      </c>
      <c r="Z16" s="68">
        <f>SUM(S16:Y16)/35</f>
        <v>0.74285714285714288</v>
      </c>
      <c r="AA16" s="68">
        <f>S5/5</f>
        <v>0</v>
      </c>
      <c r="AE16" s="98">
        <v>1</v>
      </c>
      <c r="AF16" s="69">
        <v>1</v>
      </c>
      <c r="AI16" s="111">
        <v>4</v>
      </c>
      <c r="AJ16" s="13">
        <v>1</v>
      </c>
      <c r="AK16" s="2">
        <v>4</v>
      </c>
      <c r="AL16" s="2">
        <v>3</v>
      </c>
      <c r="AM16" s="114">
        <v>3</v>
      </c>
      <c r="AV16" s="116">
        <v>3.490306854</v>
      </c>
      <c r="AW16" s="99">
        <v>20</v>
      </c>
      <c r="BE16" s="116">
        <v>3.490306854</v>
      </c>
      <c r="BF16" s="99"/>
      <c r="BG16" s="1">
        <v>0</v>
      </c>
      <c r="BH16" s="1">
        <v>1</v>
      </c>
      <c r="BS16" s="1">
        <v>3.88888888888888</v>
      </c>
      <c r="BT16" s="1">
        <v>3.1578947368421</v>
      </c>
      <c r="BU16" s="1">
        <v>3.3333333333333299</v>
      </c>
      <c r="BV16" s="1">
        <v>3.6111111111111098</v>
      </c>
      <c r="BW16" s="1">
        <v>1.94444444444444</v>
      </c>
      <c r="BX16" s="1">
        <f t="shared" si="3"/>
        <v>7.002228021496772</v>
      </c>
      <c r="BY16" s="1">
        <f t="shared" si="4"/>
        <v>12.8854970932986</v>
      </c>
      <c r="BZ16" s="1">
        <v>4.5833333333333304</v>
      </c>
      <c r="CA16" s="1">
        <v>3.6184210526315699</v>
      </c>
      <c r="CB16" s="1">
        <v>4.5</v>
      </c>
      <c r="CC16" s="1">
        <v>4.2361111111111098</v>
      </c>
      <c r="CD16" s="1">
        <v>2.63888888888888</v>
      </c>
    </row>
    <row r="17" spans="1:82" ht="17" thickBot="1" x14ac:dyDescent="0.25">
      <c r="B17" s="26" t="s">
        <v>22</v>
      </c>
      <c r="C17" s="13">
        <f t="shared" ref="C17:C18" si="5">H15-$M$8</f>
        <v>24</v>
      </c>
      <c r="D17" s="45">
        <f>I15-H15</f>
        <v>19.596931219100952</v>
      </c>
      <c r="E17" s="2">
        <v>1</v>
      </c>
      <c r="G17" s="60" t="s">
        <v>34</v>
      </c>
      <c r="H17" s="9">
        <v>754.26220488548199</v>
      </c>
      <c r="I17" s="7">
        <v>769.31670212745598</v>
      </c>
      <c r="J17" s="8">
        <f t="shared" si="0"/>
        <v>15.054497241973991</v>
      </c>
      <c r="L17" s="128">
        <f t="shared" si="2"/>
        <v>15.054497241973991</v>
      </c>
      <c r="R17" s="29" t="s">
        <v>75</v>
      </c>
      <c r="S17" s="19">
        <v>5</v>
      </c>
      <c r="T17" s="19">
        <v>4</v>
      </c>
      <c r="U17" s="19">
        <v>4</v>
      </c>
      <c r="V17" s="19">
        <v>3</v>
      </c>
      <c r="W17" s="19">
        <v>3</v>
      </c>
      <c r="X17" s="19">
        <v>4</v>
      </c>
      <c r="Y17" s="16">
        <v>3</v>
      </c>
      <c r="Z17" s="68">
        <f>SUM(S17:Y17)/35</f>
        <v>0.74285714285714288</v>
      </c>
      <c r="AA17" s="68">
        <f>S8/5</f>
        <v>0.3033150177620621</v>
      </c>
      <c r="AE17" s="98">
        <v>1</v>
      </c>
      <c r="AF17" s="69">
        <v>1</v>
      </c>
      <c r="AI17" s="111">
        <v>5</v>
      </c>
      <c r="AJ17" s="13">
        <v>2</v>
      </c>
      <c r="AK17" s="2">
        <v>5</v>
      </c>
      <c r="AL17" s="2">
        <v>4</v>
      </c>
      <c r="AM17" s="114">
        <v>6</v>
      </c>
      <c r="AU17" s="96"/>
      <c r="AV17" s="116">
        <v>4.6490738389999997</v>
      </c>
      <c r="AW17" s="70">
        <v>6.162629366</v>
      </c>
      <c r="BE17" s="116">
        <v>4.6490738389999997</v>
      </c>
      <c r="BF17" s="70">
        <v>6.162629366</v>
      </c>
      <c r="BG17" s="1">
        <v>0</v>
      </c>
      <c r="BH17" s="1">
        <v>1</v>
      </c>
      <c r="BS17" s="1">
        <v>3.05555555555555</v>
      </c>
      <c r="BT17" s="1">
        <v>2.5657894736842102</v>
      </c>
      <c r="BU17" s="1">
        <v>1.4166666666666601</v>
      </c>
      <c r="BV17" s="1">
        <v>2.5</v>
      </c>
      <c r="BW17" s="1">
        <v>2.2222222222222201</v>
      </c>
      <c r="BX17" s="1">
        <f t="shared" si="3"/>
        <v>5.4483092308537202</v>
      </c>
      <c r="BY17" s="1">
        <f t="shared" si="4"/>
        <v>13.034743166029802</v>
      </c>
      <c r="BZ17" s="1">
        <v>2.2222222222222201</v>
      </c>
      <c r="CA17" s="1">
        <v>3.75</v>
      </c>
      <c r="CB17" s="1">
        <v>2.25</v>
      </c>
      <c r="CC17" s="1">
        <v>2.2222222222222201</v>
      </c>
      <c r="CD17" s="1">
        <v>1.94444444444444</v>
      </c>
    </row>
    <row r="18" spans="1:82" ht="17" thickBot="1" x14ac:dyDescent="0.25">
      <c r="B18" s="33" t="s">
        <v>33</v>
      </c>
      <c r="C18" s="14">
        <f t="shared" si="5"/>
        <v>44</v>
      </c>
      <c r="D18" s="46">
        <f>I16-H16</f>
        <v>19.87047290802002</v>
      </c>
      <c r="E18" s="16">
        <v>1</v>
      </c>
      <c r="G18" s="60" t="s">
        <v>35</v>
      </c>
      <c r="H18" s="9">
        <f>H17+20</f>
        <v>774.26220488548199</v>
      </c>
      <c r="I18" s="7">
        <v>791.96854615211396</v>
      </c>
      <c r="J18" s="8">
        <f t="shared" si="0"/>
        <v>17.706341266631966</v>
      </c>
      <c r="L18" s="128">
        <f t="shared" si="2"/>
        <v>17.706341266631966</v>
      </c>
      <c r="AE18" s="98">
        <v>1</v>
      </c>
      <c r="AF18" s="99">
        <v>0</v>
      </c>
      <c r="AI18" s="111">
        <v>8</v>
      </c>
      <c r="AJ18" s="13">
        <v>3</v>
      </c>
      <c r="AK18" s="2">
        <v>6</v>
      </c>
      <c r="AL18" s="2">
        <v>6</v>
      </c>
      <c r="AM18" s="114">
        <v>7</v>
      </c>
      <c r="AU18" s="96"/>
      <c r="AV18" s="116">
        <v>1.8124299049999999</v>
      </c>
      <c r="AW18" s="70">
        <v>7.1531114579999997</v>
      </c>
      <c r="BE18" s="116">
        <v>1.8124299049999999</v>
      </c>
      <c r="BF18" s="70">
        <v>7.1531114579999997</v>
      </c>
      <c r="BG18" s="1">
        <v>0</v>
      </c>
      <c r="BH18" s="1">
        <v>1</v>
      </c>
      <c r="BS18" s="1">
        <v>3.88888888888888</v>
      </c>
      <c r="BT18" s="1">
        <v>3.48684210526315</v>
      </c>
      <c r="BU18" s="1">
        <v>1.75</v>
      </c>
      <c r="BV18" s="1">
        <v>3.3333333333333299</v>
      </c>
      <c r="BW18" s="1">
        <v>3.05555555555555</v>
      </c>
      <c r="BX18" s="1">
        <f t="shared" si="3"/>
        <v>10.292611503633575</v>
      </c>
      <c r="BY18" s="1">
        <f t="shared" si="4"/>
        <v>15.709074497284798</v>
      </c>
      <c r="BZ18" s="1">
        <v>2.2222222222222201</v>
      </c>
      <c r="CA18" s="1">
        <v>1.6447368421052599</v>
      </c>
      <c r="CB18" s="1">
        <v>2</v>
      </c>
      <c r="CC18" s="1">
        <v>2.43055555555555</v>
      </c>
      <c r="CD18" s="1">
        <v>3.05555555555555</v>
      </c>
    </row>
    <row r="19" spans="1:82" ht="17" thickBot="1" x14ac:dyDescent="0.25">
      <c r="D19" s="45"/>
      <c r="G19" s="42" t="s">
        <v>36</v>
      </c>
      <c r="H19" s="10">
        <f>H18+20</f>
        <v>794.26220488548199</v>
      </c>
      <c r="I19" s="66" t="b">
        <f>FALSE</f>
        <v>0</v>
      </c>
      <c r="J19" s="12" t="b">
        <f t="shared" si="0"/>
        <v>0</v>
      </c>
      <c r="K19" s="1" t="s">
        <v>225</v>
      </c>
      <c r="L19" s="128">
        <f t="shared" si="2"/>
        <v>20</v>
      </c>
      <c r="R19" s="130" t="s">
        <v>87</v>
      </c>
      <c r="S19" s="130"/>
      <c r="T19" s="130"/>
      <c r="U19" s="130"/>
      <c r="V19" s="130"/>
      <c r="AE19" s="98">
        <v>1</v>
      </c>
      <c r="AF19" s="69">
        <v>1</v>
      </c>
      <c r="AI19" s="111">
        <v>11</v>
      </c>
      <c r="AJ19" s="13">
        <v>0</v>
      </c>
      <c r="AK19" s="2">
        <v>0</v>
      </c>
      <c r="AL19" s="2">
        <v>0</v>
      </c>
      <c r="AM19" s="114">
        <v>9</v>
      </c>
      <c r="AV19" s="116">
        <v>6.722864628</v>
      </c>
      <c r="AW19" s="70">
        <v>8.1402437689999996</v>
      </c>
      <c r="BE19" s="116">
        <v>6.722864628</v>
      </c>
      <c r="BF19" s="70">
        <v>8.1402437689999996</v>
      </c>
      <c r="BG19" s="1">
        <v>0</v>
      </c>
      <c r="BH19" s="1">
        <v>1</v>
      </c>
    </row>
    <row r="20" spans="1:82" x14ac:dyDescent="0.2">
      <c r="B20" s="24" t="s">
        <v>34</v>
      </c>
      <c r="C20" s="30">
        <f>H17-$M$9</f>
        <v>4</v>
      </c>
      <c r="D20" s="47">
        <f>I17-H17</f>
        <v>15.054497241973991</v>
      </c>
      <c r="E20" s="32">
        <v>1</v>
      </c>
      <c r="H20" s="1" t="s">
        <v>53</v>
      </c>
      <c r="I20" s="1">
        <v>4</v>
      </c>
      <c r="J20" s="1">
        <f>AVERAGE(J7:J19)</f>
        <v>24.0260901186201</v>
      </c>
      <c r="L20" s="128">
        <f>AVERAGE(L7:L19)</f>
        <v>15.476892232894906</v>
      </c>
      <c r="R20" s="1" t="s">
        <v>76</v>
      </c>
      <c r="S20" s="1" t="s">
        <v>60</v>
      </c>
      <c r="AE20" s="98">
        <v>1</v>
      </c>
      <c r="AF20" s="69">
        <v>1</v>
      </c>
      <c r="AI20" s="111">
        <v>12</v>
      </c>
      <c r="AJ20" s="13">
        <v>2</v>
      </c>
      <c r="AK20" s="2">
        <v>2</v>
      </c>
      <c r="AL20" s="2">
        <v>1</v>
      </c>
      <c r="AM20" s="114">
        <v>10</v>
      </c>
      <c r="AV20" s="116">
        <v>6.7492830750000001</v>
      </c>
      <c r="AW20" s="70">
        <v>6.2666506770000003</v>
      </c>
      <c r="AX20" s="1" t="s">
        <v>16</v>
      </c>
      <c r="BE20" s="116">
        <v>6.7492830750000001</v>
      </c>
      <c r="BF20" s="70">
        <v>6.2666506770000003</v>
      </c>
      <c r="BG20" s="1">
        <v>0</v>
      </c>
      <c r="BH20" s="1">
        <v>1</v>
      </c>
      <c r="BI20" s="1" t="s">
        <v>16</v>
      </c>
    </row>
    <row r="21" spans="1:82" ht="17" thickBot="1" x14ac:dyDescent="0.25">
      <c r="B21" s="33" t="s">
        <v>35</v>
      </c>
      <c r="C21" s="14">
        <f>H18-$M$9</f>
        <v>24</v>
      </c>
      <c r="D21" s="46">
        <f>I18-H18</f>
        <v>17.706341266631966</v>
      </c>
      <c r="E21" s="16">
        <v>1</v>
      </c>
      <c r="Z21" s="14" t="s">
        <v>61</v>
      </c>
      <c r="AA21" s="19" t="s">
        <v>62</v>
      </c>
      <c r="AB21" s="19" t="s">
        <v>77</v>
      </c>
      <c r="AC21" s="16" t="s">
        <v>63</v>
      </c>
      <c r="AE21" s="91">
        <v>1</v>
      </c>
      <c r="AF21" s="89">
        <v>1</v>
      </c>
      <c r="AI21" s="112">
        <v>13</v>
      </c>
      <c r="AJ21" s="14">
        <v>5</v>
      </c>
      <c r="AK21" s="16">
        <v>2</v>
      </c>
      <c r="AL21" s="16">
        <v>2</v>
      </c>
      <c r="AM21" s="115">
        <v>14</v>
      </c>
      <c r="AV21" s="116">
        <v>5.1499001980000001</v>
      </c>
      <c r="AW21" s="70">
        <v>9.2277555469999992</v>
      </c>
      <c r="BE21" s="116">
        <v>5.1499001980000001</v>
      </c>
      <c r="BF21" s="70">
        <v>9.2277555469999992</v>
      </c>
      <c r="BG21" s="1">
        <v>0</v>
      </c>
      <c r="BH21" s="1">
        <v>1</v>
      </c>
      <c r="BS21" s="119"/>
      <c r="BT21" s="119"/>
      <c r="BU21" s="119"/>
      <c r="BV21" s="119"/>
      <c r="BW21" s="119"/>
      <c r="BX21" s="119"/>
      <c r="BY21" s="119"/>
      <c r="BZ21" s="119"/>
      <c r="CA21" s="119"/>
      <c r="CB21" s="119"/>
      <c r="CC21" s="119"/>
      <c r="CD21" s="119"/>
    </row>
    <row r="22" spans="1:82" x14ac:dyDescent="0.2">
      <c r="R22" s="23" t="s">
        <v>74</v>
      </c>
      <c r="S22" s="78">
        <v>5.7326474189754997</v>
      </c>
      <c r="T22" s="76">
        <v>2.8110604289999999</v>
      </c>
      <c r="U22" s="76">
        <v>4.2386837010000002</v>
      </c>
      <c r="V22" s="76">
        <v>3.490306854</v>
      </c>
      <c r="W22" s="76">
        <v>4.6490738389999997</v>
      </c>
      <c r="X22" s="76">
        <v>1.8124299049999999</v>
      </c>
      <c r="Y22" s="73">
        <v>6.722864628</v>
      </c>
      <c r="Z22" s="1">
        <f>AVERAGE(S22:Y22)</f>
        <v>4.2081523964250716</v>
      </c>
      <c r="AA22" s="1">
        <f>STDEV(S22:Y22)</f>
        <v>1.685717503252852</v>
      </c>
      <c r="AB22" s="1">
        <v>0</v>
      </c>
      <c r="AC22" s="67">
        <f>(7-AB22)/7</f>
        <v>1</v>
      </c>
      <c r="AE22" s="78">
        <v>1</v>
      </c>
      <c r="AF22" s="72">
        <v>1</v>
      </c>
      <c r="AG22" s="2" t="s">
        <v>16</v>
      </c>
      <c r="AH22" s="7"/>
      <c r="AI22" s="7" t="s">
        <v>112</v>
      </c>
      <c r="AJ22" s="1">
        <f>SUM(AJ15:AJ21)</f>
        <v>13</v>
      </c>
      <c r="AK22" s="1">
        <f t="shared" ref="AK22:AL22" si="6">SUM(AK15:AK21)</f>
        <v>21</v>
      </c>
      <c r="AL22" s="1">
        <f t="shared" si="6"/>
        <v>17</v>
      </c>
      <c r="AV22" s="100">
        <v>20</v>
      </c>
      <c r="AW22" s="70">
        <v>3.1448078160000001</v>
      </c>
      <c r="BE22" s="100"/>
      <c r="BF22" s="70">
        <v>3.1448078160000001</v>
      </c>
      <c r="BG22" s="1">
        <v>0</v>
      </c>
      <c r="BH22" s="1">
        <v>1</v>
      </c>
      <c r="BS22" s="119"/>
      <c r="BT22" s="119"/>
      <c r="BU22" s="119"/>
      <c r="BV22" s="119"/>
      <c r="BW22" s="119"/>
      <c r="BX22" s="119"/>
      <c r="BY22" s="119"/>
      <c r="BZ22" s="119"/>
      <c r="CA22" s="119"/>
      <c r="CB22" s="119"/>
      <c r="CC22" s="119"/>
      <c r="CD22" s="119"/>
    </row>
    <row r="23" spans="1:82" ht="17" thickBot="1" x14ac:dyDescent="0.25">
      <c r="R23" s="29" t="s">
        <v>75</v>
      </c>
      <c r="S23" s="42"/>
      <c r="T23" s="77">
        <v>3.8516030309999998</v>
      </c>
      <c r="U23" s="77">
        <v>3.1743116379999998</v>
      </c>
      <c r="V23" s="71" t="b">
        <v>0</v>
      </c>
      <c r="W23" s="77">
        <v>6.162629366</v>
      </c>
      <c r="X23" s="77">
        <v>7.1531114579999997</v>
      </c>
      <c r="Y23" s="74">
        <v>8.1402437689999996</v>
      </c>
      <c r="Z23" s="1">
        <f>AVERAGE(W23:Y23,T23:U23)</f>
        <v>5.6963798523999989</v>
      </c>
      <c r="AA23" s="1">
        <f>STDEV(T23:U23,W23:Y23)</f>
        <v>2.125791383309235</v>
      </c>
      <c r="AB23" s="1">
        <v>1</v>
      </c>
      <c r="AC23" s="67">
        <f>(7-AB23)/7</f>
        <v>0.8571428571428571</v>
      </c>
      <c r="AE23" s="98">
        <v>1</v>
      </c>
      <c r="AF23" s="69">
        <v>1</v>
      </c>
      <c r="AI23" s="7" t="s">
        <v>81</v>
      </c>
      <c r="AJ23" s="1">
        <f>AVERAGE(AJ15:AJ21)</f>
        <v>1.8571428571428572</v>
      </c>
      <c r="AK23" s="1">
        <f>AVERAGE(AK15:AK21)</f>
        <v>3</v>
      </c>
      <c r="AL23" s="1">
        <f>AVERAGE(AL15:AL21)</f>
        <v>2.4285714285714284</v>
      </c>
      <c r="AV23" s="116">
        <v>10.886933089999999</v>
      </c>
      <c r="AW23" s="70">
        <v>3.8519842620000002</v>
      </c>
      <c r="BE23" s="116">
        <v>10.886933089999999</v>
      </c>
      <c r="BF23" s="70">
        <v>3.8519842620000002</v>
      </c>
      <c r="BG23" s="1">
        <v>0</v>
      </c>
      <c r="BH23" s="1">
        <v>1</v>
      </c>
      <c r="BS23" s="119"/>
      <c r="BT23" s="119"/>
      <c r="BU23" s="119"/>
      <c r="BV23" s="119"/>
      <c r="BW23" s="119"/>
      <c r="BX23" s="119"/>
      <c r="BY23" s="119"/>
      <c r="BZ23" s="119"/>
      <c r="CA23" s="119"/>
      <c r="CB23" s="119"/>
      <c r="CC23" s="119"/>
      <c r="CD23" s="119"/>
    </row>
    <row r="24" spans="1:82" ht="17" thickBot="1" x14ac:dyDescent="0.25">
      <c r="A24" s="1" t="s">
        <v>39</v>
      </c>
      <c r="B24" s="1" t="s">
        <v>4</v>
      </c>
      <c r="G24" s="1" t="s">
        <v>229</v>
      </c>
      <c r="AE24" s="100">
        <v>0</v>
      </c>
      <c r="AF24" s="69">
        <v>1</v>
      </c>
      <c r="AI24" s="1" t="s">
        <v>105</v>
      </c>
      <c r="AJ24" s="1">
        <f>MEDIAN(AJ15:AJ21)</f>
        <v>2</v>
      </c>
      <c r="AK24" s="1">
        <f>MEDIAN(AK15:AK21)</f>
        <v>2</v>
      </c>
      <c r="AL24" s="1">
        <f>MEDIAN(AL15:AL21)</f>
        <v>2</v>
      </c>
      <c r="AV24" s="116">
        <v>4.7884624000000002</v>
      </c>
      <c r="AW24" s="70">
        <v>8.6273071770000005</v>
      </c>
      <c r="BE24" s="116">
        <v>4.7884624000000002</v>
      </c>
      <c r="BF24" s="70">
        <v>8.6273071770000005</v>
      </c>
      <c r="BG24" s="1">
        <v>0</v>
      </c>
      <c r="BH24" s="1">
        <v>1</v>
      </c>
      <c r="BS24" s="119"/>
      <c r="BT24" s="119"/>
      <c r="BU24" s="119"/>
      <c r="BV24" s="119"/>
      <c r="BW24" s="119"/>
      <c r="BX24" s="119"/>
      <c r="BY24" s="119"/>
      <c r="BZ24" s="119"/>
      <c r="CA24" s="119"/>
      <c r="CB24" s="119"/>
      <c r="CC24" s="119"/>
      <c r="CD24" s="119"/>
    </row>
    <row r="25" spans="1:82" ht="17" thickBot="1" x14ac:dyDescent="0.25">
      <c r="A25" s="1" t="s">
        <v>169</v>
      </c>
      <c r="B25" s="1" t="s">
        <v>170</v>
      </c>
      <c r="C25" s="1" t="s">
        <v>171</v>
      </c>
      <c r="D25" s="1" t="s">
        <v>172</v>
      </c>
      <c r="E25" s="1" t="s">
        <v>173</v>
      </c>
      <c r="G25" s="1">
        <v>2</v>
      </c>
      <c r="H25" s="20" t="s">
        <v>45</v>
      </c>
      <c r="I25" s="21" t="s">
        <v>46</v>
      </c>
      <c r="J25" s="22" t="s">
        <v>47</v>
      </c>
      <c r="M25" s="23" t="s">
        <v>0</v>
      </c>
      <c r="O25" s="1" t="s">
        <v>5</v>
      </c>
      <c r="AE25" s="98">
        <v>1</v>
      </c>
      <c r="AF25" s="69">
        <v>1</v>
      </c>
      <c r="AI25" s="1" t="s">
        <v>62</v>
      </c>
      <c r="AJ25" s="1">
        <f>STDEV(AJ15:AJ21)</f>
        <v>1.7728105208558367</v>
      </c>
      <c r="AK25" s="1">
        <f>STDEV(AK15:AK21)</f>
        <v>2.0816659994661326</v>
      </c>
      <c r="AL25" s="1">
        <f>STDEV(AL15:AL21)</f>
        <v>2.0701966780270626</v>
      </c>
      <c r="AV25" s="116">
        <v>2.0255961419999999</v>
      </c>
      <c r="AW25" s="70">
        <v>3.6350617409999999</v>
      </c>
      <c r="BE25" s="116">
        <v>2.0255961419999999</v>
      </c>
      <c r="BF25" s="70">
        <v>3.6350617409999999</v>
      </c>
      <c r="BG25" s="1">
        <v>0</v>
      </c>
      <c r="BH25" s="1">
        <v>1</v>
      </c>
      <c r="BS25" s="119"/>
      <c r="BT25" s="119"/>
      <c r="BU25" s="119"/>
      <c r="BV25" s="119"/>
      <c r="BW25" s="119"/>
      <c r="BX25" s="119"/>
      <c r="BY25" s="119"/>
      <c r="BZ25" s="119"/>
      <c r="CA25" s="119"/>
      <c r="CB25" s="119"/>
      <c r="CC25" s="119"/>
      <c r="CD25" s="119"/>
    </row>
    <row r="26" spans="1:82" ht="17" thickBot="1" x14ac:dyDescent="0.25">
      <c r="A26" s="1">
        <v>4.4444444444444402</v>
      </c>
      <c r="B26" s="1">
        <v>2.6973684210526301</v>
      </c>
      <c r="C26" s="1">
        <v>1.9166666666666601</v>
      </c>
      <c r="D26" s="45">
        <v>2.9861111111111098</v>
      </c>
      <c r="E26" s="1">
        <v>2.2916666666666599</v>
      </c>
      <c r="G26" s="34" t="s">
        <v>11</v>
      </c>
      <c r="H26" s="9">
        <f>M26+4-O26</f>
        <v>23.020447015762322</v>
      </c>
      <c r="I26" s="7" t="b">
        <f>FALSE</f>
        <v>0</v>
      </c>
      <c r="J26" s="8" t="b">
        <f>IF(I26,I26-H26,FALSE)</f>
        <v>0</v>
      </c>
      <c r="M26" s="25">
        <v>22.0218617916107</v>
      </c>
      <c r="O26" s="1">
        <v>3.0014147758483798</v>
      </c>
      <c r="R26" s="1" t="s">
        <v>76</v>
      </c>
      <c r="S26" s="1" t="s">
        <v>16</v>
      </c>
      <c r="AE26" s="98">
        <v>1</v>
      </c>
      <c r="AF26" s="69">
        <v>1</v>
      </c>
      <c r="AV26" s="100">
        <v>20</v>
      </c>
      <c r="AW26" s="69">
        <v>16.158235788345991</v>
      </c>
      <c r="BE26" s="100"/>
      <c r="BF26" s="69">
        <v>16.158235788345991</v>
      </c>
      <c r="BG26" s="1">
        <v>0</v>
      </c>
      <c r="BH26" s="1">
        <v>1</v>
      </c>
      <c r="BS26" s="119"/>
      <c r="BT26" s="119"/>
      <c r="BU26" s="119"/>
      <c r="BV26" s="119"/>
      <c r="BW26" s="119"/>
      <c r="BX26" s="119"/>
      <c r="BY26" s="119"/>
      <c r="BZ26" s="119"/>
      <c r="CA26" s="119"/>
      <c r="CB26" s="119"/>
      <c r="CC26" s="119"/>
      <c r="CD26" s="119"/>
    </row>
    <row r="27" spans="1:82" ht="17" thickBot="1" x14ac:dyDescent="0.25">
      <c r="G27" s="35" t="s">
        <v>12</v>
      </c>
      <c r="H27" s="9">
        <f>H26+20</f>
        <v>43.020447015762322</v>
      </c>
      <c r="I27" s="7" t="b">
        <f>FALSE</f>
        <v>0</v>
      </c>
      <c r="J27" s="8" t="b">
        <f t="shared" ref="J27:J40" si="7">IF(I27,I27-H27,FALSE)</f>
        <v>0</v>
      </c>
      <c r="M27" s="25">
        <v>189.51719760894699</v>
      </c>
      <c r="Z27" s="14" t="s">
        <v>61</v>
      </c>
      <c r="AA27" s="19" t="s">
        <v>62</v>
      </c>
      <c r="AB27" s="19" t="s">
        <v>77</v>
      </c>
      <c r="AC27" s="16" t="s">
        <v>63</v>
      </c>
      <c r="AE27" s="98">
        <v>1</v>
      </c>
      <c r="AF27" s="69">
        <v>1</v>
      </c>
      <c r="AI27" s="30"/>
      <c r="AJ27" s="31"/>
      <c r="AK27" s="122" t="s">
        <v>107</v>
      </c>
      <c r="AL27" s="31"/>
      <c r="AM27" s="32"/>
      <c r="AN27" s="30"/>
      <c r="AO27" s="106" t="s">
        <v>216</v>
      </c>
      <c r="AV27" s="100">
        <v>20</v>
      </c>
      <c r="AW27" s="69">
        <v>16.20467805862404</v>
      </c>
      <c r="AX27" s="1" t="s">
        <v>19</v>
      </c>
      <c r="BE27" s="100"/>
      <c r="BF27" s="69">
        <v>16.20467805862404</v>
      </c>
      <c r="BG27" s="1">
        <v>0</v>
      </c>
      <c r="BH27" s="1">
        <v>1</v>
      </c>
      <c r="BI27" s="1" t="s">
        <v>19</v>
      </c>
      <c r="BS27" s="119"/>
      <c r="BT27" s="119"/>
      <c r="BU27" s="119"/>
      <c r="BV27" s="119"/>
      <c r="BW27" s="119"/>
      <c r="BX27" s="119"/>
      <c r="BY27" s="119"/>
      <c r="BZ27" s="119"/>
      <c r="CA27" s="119"/>
      <c r="CB27" s="119"/>
      <c r="CC27" s="119"/>
      <c r="CD27" s="119"/>
    </row>
    <row r="28" spans="1:82" ht="17" thickBot="1" x14ac:dyDescent="0.25">
      <c r="B28" s="51" t="s">
        <v>16</v>
      </c>
      <c r="C28" s="52">
        <f>H31-$M$27</f>
        <v>44</v>
      </c>
      <c r="D28" s="53">
        <f>I31-H31</f>
        <v>6.2666506767280055</v>
      </c>
      <c r="E28" s="54">
        <v>1</v>
      </c>
      <c r="F28" s="3" t="s">
        <v>9</v>
      </c>
      <c r="G28" s="26" t="s">
        <v>13</v>
      </c>
      <c r="H28" s="9">
        <f>H27+20</f>
        <v>63.020447015762322</v>
      </c>
      <c r="I28" s="5" t="s">
        <v>7</v>
      </c>
      <c r="J28" s="8" t="b">
        <v>0</v>
      </c>
      <c r="L28" s="128">
        <f t="shared" ref="L27:L40" si="8">IF(J28=FALSE,20,J28)</f>
        <v>20</v>
      </c>
      <c r="M28" s="25">
        <v>327.36541986465397</v>
      </c>
      <c r="R28" s="30" t="s">
        <v>74</v>
      </c>
      <c r="S28" s="80">
        <v>6.7492830750000001</v>
      </c>
      <c r="T28" s="76">
        <v>5.1499001980000001</v>
      </c>
      <c r="U28" s="79" t="b">
        <v>0</v>
      </c>
      <c r="V28" s="76">
        <v>10.886933089999999</v>
      </c>
      <c r="W28" s="76">
        <v>4.7884624000000002</v>
      </c>
      <c r="X28" s="76">
        <v>2.0255961419999999</v>
      </c>
      <c r="Y28" s="28" t="b">
        <v>0</v>
      </c>
      <c r="Z28" s="1">
        <f>AVERAGE(S28:Y28)</f>
        <v>5.9200349809999997</v>
      </c>
      <c r="AA28" s="1">
        <f>STDEV(S28:Y28)</f>
        <v>3.2556853037171569</v>
      </c>
      <c r="AB28" s="1">
        <v>2</v>
      </c>
      <c r="AC28" s="67">
        <f>(7-AB28)/7</f>
        <v>0.7142857142857143</v>
      </c>
      <c r="AE28" s="101">
        <v>0</v>
      </c>
      <c r="AF28" s="89">
        <v>1</v>
      </c>
      <c r="AH28" s="7"/>
      <c r="AI28" s="13"/>
      <c r="AM28" s="2"/>
      <c r="AN28" s="13" t="s">
        <v>217</v>
      </c>
      <c r="AO28" s="2">
        <v>0.92024761438369695</v>
      </c>
      <c r="AV28" s="98">
        <v>4.7009787559509846</v>
      </c>
      <c r="AW28" s="69">
        <v>5.7971580028499829</v>
      </c>
      <c r="BE28" s="98">
        <v>4.7009787559509846</v>
      </c>
      <c r="BF28" s="69">
        <v>5.7971580028499829</v>
      </c>
      <c r="BG28" s="1">
        <v>0</v>
      </c>
      <c r="BH28" s="1">
        <v>1</v>
      </c>
      <c r="BS28" s="119"/>
      <c r="BT28" s="119"/>
      <c r="BU28" s="119"/>
      <c r="BV28" s="119"/>
      <c r="BW28" s="119"/>
      <c r="BX28" s="119"/>
      <c r="BY28" s="119"/>
      <c r="BZ28" s="119"/>
      <c r="CA28" s="119"/>
      <c r="CB28" s="119"/>
      <c r="CC28" s="119"/>
      <c r="CD28" s="119"/>
    </row>
    <row r="29" spans="1:82" ht="17" thickBot="1" x14ac:dyDescent="0.25">
      <c r="F29" s="3" t="s">
        <v>10</v>
      </c>
      <c r="G29" s="35" t="s">
        <v>14</v>
      </c>
      <c r="H29" s="9">
        <f>M27+4</f>
        <v>193.51719760894699</v>
      </c>
      <c r="I29" s="6">
        <v>210.109982967376</v>
      </c>
      <c r="J29" s="8">
        <f t="shared" si="7"/>
        <v>16.592785358429012</v>
      </c>
      <c r="M29" s="25">
        <v>470.70475363731299</v>
      </c>
      <c r="R29" s="14" t="s">
        <v>75</v>
      </c>
      <c r="S29" s="88">
        <v>6.2666506770000003</v>
      </c>
      <c r="T29" s="77">
        <v>9.2277555469999992</v>
      </c>
      <c r="U29" s="77">
        <v>3.1448078160000001</v>
      </c>
      <c r="V29" s="77">
        <v>3.8519842620000002</v>
      </c>
      <c r="W29" s="77">
        <v>8.6273071770000005</v>
      </c>
      <c r="X29" s="77">
        <v>3.6350617409999999</v>
      </c>
      <c r="Y29" s="89">
        <v>16.158235788345991</v>
      </c>
      <c r="Z29" s="1">
        <f>AVERAGE(W29:Y29,T29:U29)</f>
        <v>8.1586336138691991</v>
      </c>
      <c r="AA29" s="1">
        <f>STDEV(T29:U29,W29:Y29)</f>
        <v>5.2668174258029135</v>
      </c>
      <c r="AB29" s="1">
        <v>0</v>
      </c>
      <c r="AC29" s="67">
        <f>(7-AB29)/7</f>
        <v>1</v>
      </c>
      <c r="AE29" s="90">
        <v>0</v>
      </c>
      <c r="AF29" s="72">
        <v>1</v>
      </c>
      <c r="AG29" s="2" t="s">
        <v>19</v>
      </c>
      <c r="AH29" s="7"/>
      <c r="AI29" s="13" t="s">
        <v>80</v>
      </c>
      <c r="AJ29" s="7">
        <f>_xlfn.T.TEST(AJ15:AJ21,AK15:AK21,1,1)</f>
        <v>0.11540470442091055</v>
      </c>
      <c r="AK29" s="109" t="s">
        <v>108</v>
      </c>
      <c r="AM29" s="2"/>
      <c r="AN29" s="13" t="s">
        <v>80</v>
      </c>
      <c r="AO29" s="2">
        <v>0.47099999999999997</v>
      </c>
      <c r="AV29" s="98">
        <v>6.8787989616399727</v>
      </c>
      <c r="AW29" s="69">
        <v>17.809106588363989</v>
      </c>
      <c r="BE29" s="98">
        <v>6.8787989616399727</v>
      </c>
      <c r="BF29" s="69">
        <v>17.809106588363989</v>
      </c>
      <c r="BG29" s="1">
        <v>0</v>
      </c>
      <c r="BH29" s="1">
        <v>1</v>
      </c>
      <c r="BS29" s="119"/>
      <c r="BT29" s="119"/>
      <c r="BU29" s="119"/>
      <c r="BV29" s="119"/>
      <c r="BW29" s="119"/>
      <c r="BX29" s="119"/>
      <c r="BY29" s="119"/>
      <c r="BZ29" s="119"/>
      <c r="CA29" s="119"/>
      <c r="CB29" s="119"/>
      <c r="CC29" s="119"/>
      <c r="CD29" s="119"/>
    </row>
    <row r="30" spans="1:82" ht="17" thickBot="1" x14ac:dyDescent="0.25">
      <c r="B30" s="51" t="s">
        <v>19</v>
      </c>
      <c r="C30" s="52">
        <f>H34-$M$28</f>
        <v>44</v>
      </c>
      <c r="D30" s="53">
        <f>I34-H34</f>
        <v>16.20467805862404</v>
      </c>
      <c r="E30" s="54">
        <v>1</v>
      </c>
      <c r="G30" s="35" t="s">
        <v>15</v>
      </c>
      <c r="H30" s="9">
        <f>H29+20</f>
        <v>213.51719760894699</v>
      </c>
      <c r="I30" s="7" t="b">
        <f>FALSE</f>
        <v>0</v>
      </c>
      <c r="J30" s="8" t="b">
        <f t="shared" si="7"/>
        <v>0</v>
      </c>
      <c r="M30" s="29">
        <v>593.14326071739197</v>
      </c>
      <c r="AE30" s="98">
        <v>1</v>
      </c>
      <c r="AF30" s="69">
        <v>1</v>
      </c>
      <c r="AI30" s="13" t="s">
        <v>80</v>
      </c>
      <c r="AJ30" s="7">
        <f>_xlfn.T.TEST(AJ15:AJ21,AL15:AL21,1,1)</f>
        <v>0.24636312250847864</v>
      </c>
      <c r="AK30" s="109" t="s">
        <v>109</v>
      </c>
      <c r="AM30" s="2"/>
      <c r="AN30" s="13"/>
      <c r="AO30" s="2"/>
      <c r="AV30" s="98">
        <v>3.9430983066559975</v>
      </c>
      <c r="AW30" s="99">
        <v>20</v>
      </c>
      <c r="BE30" s="98">
        <v>3.9430983066559975</v>
      </c>
      <c r="BF30" s="99"/>
      <c r="BG30" s="1">
        <v>0</v>
      </c>
      <c r="BH30" s="1">
        <v>1</v>
      </c>
      <c r="BS30" s="119"/>
      <c r="BT30" s="119"/>
      <c r="BU30" s="119"/>
      <c r="BV30" s="119"/>
      <c r="BW30" s="119"/>
      <c r="BX30" s="119"/>
      <c r="BY30" s="119"/>
      <c r="BZ30" s="119"/>
      <c r="CA30" s="119"/>
      <c r="CB30" s="119"/>
      <c r="CC30" s="119"/>
      <c r="CD30" s="119"/>
    </row>
    <row r="31" spans="1:82" ht="17" thickBot="1" x14ac:dyDescent="0.25">
      <c r="G31" s="26" t="s">
        <v>16</v>
      </c>
      <c r="H31" s="9">
        <f>H30+20</f>
        <v>233.51719760894699</v>
      </c>
      <c r="I31" s="5">
        <v>239.78384828567499</v>
      </c>
      <c r="J31" s="8">
        <f t="shared" si="7"/>
        <v>6.2666506767280055</v>
      </c>
      <c r="L31" s="128">
        <f t="shared" si="8"/>
        <v>6.2666506767280055</v>
      </c>
      <c r="AE31" s="98">
        <v>1</v>
      </c>
      <c r="AF31" s="69">
        <v>1</v>
      </c>
      <c r="AI31" s="14"/>
      <c r="AJ31" s="19"/>
      <c r="AK31" s="19"/>
      <c r="AL31" s="19"/>
      <c r="AM31" s="16"/>
      <c r="AN31" s="14"/>
      <c r="AO31" s="16"/>
      <c r="AV31" s="98">
        <v>3.5037875175469821</v>
      </c>
      <c r="AW31" s="99">
        <v>20</v>
      </c>
      <c r="BE31" s="98">
        <v>3.5037875175469821</v>
      </c>
      <c r="BF31" s="99"/>
      <c r="BG31" s="1">
        <v>0</v>
      </c>
      <c r="BH31" s="1">
        <v>1</v>
      </c>
      <c r="BS31" s="119"/>
      <c r="BT31" s="119"/>
      <c r="BU31" s="119"/>
      <c r="BV31" s="119"/>
      <c r="BW31" s="119"/>
      <c r="BX31" s="119"/>
      <c r="BY31" s="119"/>
      <c r="BZ31" s="119"/>
      <c r="CA31" s="119"/>
      <c r="CB31" s="119"/>
      <c r="CC31" s="119"/>
      <c r="CD31" s="119"/>
    </row>
    <row r="32" spans="1:82" ht="17" thickBot="1" x14ac:dyDescent="0.25">
      <c r="B32" s="51" t="s">
        <v>22</v>
      </c>
      <c r="C32" s="52">
        <f>H37-$M$29</f>
        <v>43.999999999999943</v>
      </c>
      <c r="D32" s="53">
        <f>I37-H37</f>
        <v>18.655852794648013</v>
      </c>
      <c r="E32" s="54">
        <v>1</v>
      </c>
      <c r="G32" s="35" t="s">
        <v>17</v>
      </c>
      <c r="H32" s="9">
        <f>M28+4</f>
        <v>331.36541986465397</v>
      </c>
      <c r="I32" s="7" t="b">
        <f>FALSE</f>
        <v>0</v>
      </c>
      <c r="J32" s="8" t="b">
        <f t="shared" si="7"/>
        <v>0</v>
      </c>
      <c r="M32" s="1" t="s">
        <v>222</v>
      </c>
      <c r="R32" s="1" t="s">
        <v>76</v>
      </c>
      <c r="S32" s="1" t="s">
        <v>19</v>
      </c>
      <c r="AE32" s="98">
        <v>1</v>
      </c>
      <c r="AF32" s="59">
        <v>0</v>
      </c>
      <c r="AJ32" s="97" t="s">
        <v>218</v>
      </c>
      <c r="AV32" s="98">
        <v>1.7839119434349868</v>
      </c>
      <c r="AW32" s="69">
        <v>14.395035982132015</v>
      </c>
      <c r="BE32" s="98">
        <v>1.7839119434349868</v>
      </c>
      <c r="BF32" s="69">
        <v>14.395035982132015</v>
      </c>
      <c r="BG32" s="1">
        <v>0</v>
      </c>
      <c r="BH32" s="1">
        <v>1</v>
      </c>
      <c r="BS32" s="119"/>
      <c r="BT32" s="119"/>
      <c r="BU32" s="119"/>
      <c r="BV32" s="119"/>
      <c r="BW32" s="119"/>
      <c r="BX32" s="119"/>
      <c r="BY32" s="119"/>
      <c r="BZ32" s="119"/>
      <c r="CA32" s="119"/>
      <c r="CB32" s="119"/>
      <c r="CC32" s="119"/>
      <c r="CD32" s="119"/>
    </row>
    <row r="33" spans="1:89" ht="17" thickBot="1" x14ac:dyDescent="0.25">
      <c r="G33" s="35" t="s">
        <v>18</v>
      </c>
      <c r="H33" s="9">
        <f>H32+20</f>
        <v>351.36541986465397</v>
      </c>
      <c r="I33" s="7" t="b">
        <f>FALSE</f>
        <v>0</v>
      </c>
      <c r="J33" s="8" t="b">
        <f t="shared" si="7"/>
        <v>0</v>
      </c>
      <c r="M33" s="1">
        <f>1</f>
        <v>1</v>
      </c>
      <c r="Z33" s="20" t="s">
        <v>61</v>
      </c>
      <c r="AA33" s="21" t="s">
        <v>62</v>
      </c>
      <c r="AB33" s="21" t="s">
        <v>77</v>
      </c>
      <c r="AC33" s="22" t="s">
        <v>63</v>
      </c>
      <c r="AE33" s="98">
        <v>1</v>
      </c>
      <c r="AF33" s="59">
        <v>0</v>
      </c>
      <c r="AV33" s="98">
        <v>2.4327280521399643</v>
      </c>
      <c r="AW33" s="99">
        <v>20</v>
      </c>
      <c r="BE33" s="98">
        <v>2.4327280521399643</v>
      </c>
      <c r="BF33" s="99"/>
      <c r="BG33" s="1">
        <v>0</v>
      </c>
      <c r="BH33" s="1">
        <v>1</v>
      </c>
      <c r="BS33" s="119"/>
      <c r="BT33" s="119"/>
      <c r="BU33" s="119"/>
      <c r="BV33" s="119"/>
      <c r="BW33" s="119"/>
      <c r="BX33" s="119"/>
      <c r="BY33" s="119"/>
      <c r="BZ33" s="119"/>
      <c r="CA33" s="119"/>
      <c r="CB33" s="119"/>
      <c r="CC33" s="119"/>
      <c r="CD33" s="119"/>
    </row>
    <row r="34" spans="1:89" ht="17" thickBot="1" x14ac:dyDescent="0.25">
      <c r="B34" s="51" t="s">
        <v>25</v>
      </c>
      <c r="C34" s="52">
        <f>H40-$M$30</f>
        <v>44</v>
      </c>
      <c r="D34" s="53">
        <f>I40-H40</f>
        <v>3.2837228775019867</v>
      </c>
      <c r="E34" s="54">
        <v>1</v>
      </c>
      <c r="G34" s="26" t="s">
        <v>19</v>
      </c>
      <c r="H34" s="9">
        <f>H33+20</f>
        <v>371.36541986465397</v>
      </c>
      <c r="I34" s="5">
        <v>387.57009792327801</v>
      </c>
      <c r="J34" s="8">
        <f t="shared" si="7"/>
        <v>16.20467805862404</v>
      </c>
      <c r="L34" s="128">
        <f t="shared" si="8"/>
        <v>16.20467805862404</v>
      </c>
      <c r="R34" s="30" t="s">
        <v>74</v>
      </c>
      <c r="S34" s="90" t="b">
        <v>0</v>
      </c>
      <c r="T34" s="75">
        <v>4.7009787559509846</v>
      </c>
      <c r="U34" s="75">
        <v>6.8787989616399727</v>
      </c>
      <c r="V34" s="75">
        <v>3.9430983066559975</v>
      </c>
      <c r="W34" s="75">
        <v>3.5037875175469821</v>
      </c>
      <c r="X34" s="75">
        <v>1.7839119434349868</v>
      </c>
      <c r="Y34" s="72">
        <v>2.4327280521399643</v>
      </c>
      <c r="Z34" s="1">
        <f>AVERAGE(S34:Y34)</f>
        <v>3.8738839228948145</v>
      </c>
      <c r="AA34" s="1">
        <f>STDEV(S34:Y34)</f>
        <v>1.8055622587911095</v>
      </c>
      <c r="AB34" s="1">
        <v>1</v>
      </c>
      <c r="AC34" s="67">
        <f>(7-AB34)/7</f>
        <v>0.8571428571428571</v>
      </c>
      <c r="AE34" s="98">
        <v>1</v>
      </c>
      <c r="AF34" s="69">
        <v>1</v>
      </c>
      <c r="AJ34" s="13">
        <v>0</v>
      </c>
      <c r="AV34" s="98">
        <v>19.596931219100952</v>
      </c>
      <c r="AW34" s="69">
        <v>18.655852794648013</v>
      </c>
      <c r="AX34" s="1" t="s">
        <v>22</v>
      </c>
      <c r="BE34" s="98">
        <v>19.596931219100952</v>
      </c>
      <c r="BF34" s="69">
        <v>18.655852794648013</v>
      </c>
      <c r="BG34" s="1">
        <v>0</v>
      </c>
      <c r="BH34" s="1">
        <v>1</v>
      </c>
      <c r="BI34" s="1" t="s">
        <v>22</v>
      </c>
      <c r="BS34" s="119"/>
      <c r="BT34" s="119"/>
      <c r="BU34" s="119"/>
      <c r="BV34" s="119"/>
      <c r="BW34" s="119"/>
      <c r="BX34" s="119"/>
      <c r="BY34" s="119"/>
      <c r="BZ34" s="119"/>
      <c r="CA34" s="119"/>
      <c r="CB34" s="119"/>
      <c r="CC34" s="119"/>
      <c r="CD34" s="119"/>
    </row>
    <row r="35" spans="1:89" ht="17" thickBot="1" x14ac:dyDescent="0.25">
      <c r="G35" s="35" t="s">
        <v>20</v>
      </c>
      <c r="H35" s="9">
        <f>M29+4</f>
        <v>474.70475363731299</v>
      </c>
      <c r="I35" s="7" t="b">
        <f>FALSE</f>
        <v>0</v>
      </c>
      <c r="J35" s="8" t="b">
        <f t="shared" si="7"/>
        <v>0</v>
      </c>
      <c r="R35" s="14" t="s">
        <v>75</v>
      </c>
      <c r="S35" s="91">
        <v>16.20467805862404</v>
      </c>
      <c r="T35" s="11">
        <v>5.7971580028499829</v>
      </c>
      <c r="U35" s="11">
        <v>17.809106588363989</v>
      </c>
      <c r="V35" s="37" t="b">
        <v>0</v>
      </c>
      <c r="W35" s="37" t="b">
        <v>0</v>
      </c>
      <c r="X35" s="11">
        <v>14.395035982132015</v>
      </c>
      <c r="Y35" s="92" t="b">
        <v>0</v>
      </c>
      <c r="Z35" s="1">
        <f>AVERAGE(W35:Y35,T35:U35)</f>
        <v>12.667100191115329</v>
      </c>
      <c r="AA35" s="1">
        <f>STDEV(T35:U35,W35:Y35)</f>
        <v>6.1895919719045569</v>
      </c>
      <c r="AB35" s="1">
        <v>3</v>
      </c>
      <c r="AC35" s="67">
        <f>(7-AB35)/7</f>
        <v>0.5714285714285714</v>
      </c>
      <c r="AE35" s="91">
        <v>1</v>
      </c>
      <c r="AF35" s="92">
        <v>0</v>
      </c>
      <c r="AJ35" s="2">
        <v>2</v>
      </c>
      <c r="AV35" s="100">
        <v>20</v>
      </c>
      <c r="AW35" s="99">
        <v>20</v>
      </c>
      <c r="BE35" s="100"/>
      <c r="BF35" s="99"/>
      <c r="BG35" s="1">
        <v>0</v>
      </c>
      <c r="BH35" s="1">
        <v>1</v>
      </c>
      <c r="BS35" s="119"/>
      <c r="BT35" s="119"/>
      <c r="BU35" s="119"/>
      <c r="BV35" s="119"/>
      <c r="BW35" s="119"/>
      <c r="BX35" s="119"/>
      <c r="BY35" s="119"/>
      <c r="BZ35" s="119"/>
      <c r="CA35" s="119"/>
      <c r="CB35" s="119"/>
      <c r="CC35" s="119"/>
      <c r="CD35" s="119"/>
    </row>
    <row r="36" spans="1:89" x14ac:dyDescent="0.2">
      <c r="G36" s="35" t="s">
        <v>21</v>
      </c>
      <c r="H36" s="9">
        <f>H35+20</f>
        <v>494.70475363731299</v>
      </c>
      <c r="I36" s="7" t="b">
        <f>FALSE</f>
        <v>0</v>
      </c>
      <c r="J36" s="8" t="b">
        <f t="shared" si="7"/>
        <v>0</v>
      </c>
      <c r="U36" s="7"/>
      <c r="AE36" s="78">
        <v>1</v>
      </c>
      <c r="AF36" s="72">
        <v>1</v>
      </c>
      <c r="AG36" s="1" t="s">
        <v>22</v>
      </c>
      <c r="AJ36" s="2">
        <v>4</v>
      </c>
      <c r="AK36" s="120"/>
      <c r="AL36" s="120"/>
      <c r="AV36" s="100">
        <v>20</v>
      </c>
      <c r="AW36" s="69">
        <v>14.275756597518011</v>
      </c>
      <c r="BE36" s="100"/>
      <c r="BF36" s="69">
        <v>14.275756597518011</v>
      </c>
      <c r="BG36" s="1">
        <v>0</v>
      </c>
      <c r="BH36" s="1">
        <v>1</v>
      </c>
      <c r="BS36" s="119"/>
      <c r="BT36" s="119"/>
      <c r="BU36" s="119"/>
      <c r="BV36" s="119"/>
      <c r="BW36" s="119"/>
      <c r="BX36" s="119"/>
      <c r="BY36" s="119"/>
      <c r="BZ36" s="119"/>
      <c r="CA36" s="119"/>
      <c r="CB36" s="119"/>
      <c r="CC36" s="119"/>
      <c r="CD36" s="119"/>
    </row>
    <row r="37" spans="1:89" x14ac:dyDescent="0.2">
      <c r="G37" s="26" t="s">
        <v>22</v>
      </c>
      <c r="H37" s="9">
        <f>H36+20</f>
        <v>514.70475363731293</v>
      </c>
      <c r="I37" s="5">
        <v>533.36060643196095</v>
      </c>
      <c r="J37" s="8">
        <f t="shared" si="7"/>
        <v>18.655852794648013</v>
      </c>
      <c r="L37" s="128">
        <f t="shared" si="8"/>
        <v>18.655852794648013</v>
      </c>
      <c r="U37" s="7"/>
      <c r="AE37" s="102">
        <v>0</v>
      </c>
      <c r="AF37" s="59">
        <v>0</v>
      </c>
      <c r="AJ37" s="13">
        <v>1</v>
      </c>
      <c r="AV37" s="98">
        <v>16.944648265838964</v>
      </c>
      <c r="AW37" s="99">
        <v>20</v>
      </c>
      <c r="BE37" s="98">
        <v>16.944648265838964</v>
      </c>
      <c r="BF37" s="99"/>
      <c r="BG37" s="1">
        <v>0</v>
      </c>
      <c r="BH37" s="1">
        <v>1</v>
      </c>
      <c r="BS37" s="119"/>
      <c r="BT37" s="119"/>
      <c r="BU37" s="119"/>
      <c r="BV37" s="119"/>
      <c r="BW37" s="119"/>
      <c r="BX37" s="119"/>
      <c r="BY37" s="119"/>
      <c r="BZ37" s="119"/>
      <c r="CA37" s="119"/>
      <c r="CB37" s="119"/>
      <c r="CC37" s="119"/>
      <c r="CD37" s="119"/>
    </row>
    <row r="38" spans="1:89" x14ac:dyDescent="0.2">
      <c r="G38" s="35" t="s">
        <v>23</v>
      </c>
      <c r="H38" s="9">
        <f>M30+4</f>
        <v>597.14326071739197</v>
      </c>
      <c r="I38" s="7" t="b">
        <f>FALSE</f>
        <v>0</v>
      </c>
      <c r="J38" s="8" t="b">
        <f t="shared" si="7"/>
        <v>0</v>
      </c>
      <c r="R38" s="1" t="s">
        <v>76</v>
      </c>
      <c r="S38" s="1" t="s">
        <v>22</v>
      </c>
      <c r="AE38" s="102">
        <v>0</v>
      </c>
      <c r="AF38" s="69">
        <v>1</v>
      </c>
      <c r="AJ38" s="13">
        <v>2</v>
      </c>
      <c r="AV38" s="100">
        <v>20</v>
      </c>
      <c r="AW38" s="69">
        <v>9.6375489234930001</v>
      </c>
      <c r="BE38" s="100"/>
      <c r="BF38" s="69">
        <v>9.6375489234930001</v>
      </c>
      <c r="BG38" s="1">
        <v>0</v>
      </c>
      <c r="BH38" s="1">
        <v>1</v>
      </c>
      <c r="BS38" s="119"/>
      <c r="BT38" s="119"/>
      <c r="BU38" s="119"/>
      <c r="BV38" s="119"/>
      <c r="BW38" s="119"/>
      <c r="BX38" s="119"/>
      <c r="BY38" s="119"/>
      <c r="BZ38" s="119"/>
      <c r="CA38" s="119"/>
      <c r="CB38" s="119"/>
      <c r="CC38" s="119"/>
      <c r="CD38" s="119"/>
    </row>
    <row r="39" spans="1:89" ht="17" thickBot="1" x14ac:dyDescent="0.25">
      <c r="G39" s="35" t="s">
        <v>24</v>
      </c>
      <c r="H39" s="9">
        <f>H38+20</f>
        <v>617.14326071739197</v>
      </c>
      <c r="I39" s="7" t="b">
        <f>FALSE</f>
        <v>0</v>
      </c>
      <c r="J39" s="8" t="b">
        <f t="shared" si="7"/>
        <v>0</v>
      </c>
      <c r="Z39" s="14" t="s">
        <v>61</v>
      </c>
      <c r="AA39" s="19" t="s">
        <v>62</v>
      </c>
      <c r="AB39" s="19" t="s">
        <v>77</v>
      </c>
      <c r="AC39" s="16" t="s">
        <v>63</v>
      </c>
      <c r="AE39" s="98">
        <v>1</v>
      </c>
      <c r="AF39" s="59">
        <v>0</v>
      </c>
      <c r="AJ39" s="2">
        <v>5</v>
      </c>
      <c r="AV39" s="100">
        <v>20</v>
      </c>
      <c r="AW39" s="99">
        <v>20</v>
      </c>
      <c r="BE39" s="100"/>
      <c r="BF39" s="99"/>
      <c r="BG39" s="1">
        <v>0</v>
      </c>
      <c r="BH39" s="1">
        <v>1</v>
      </c>
      <c r="BS39" s="119"/>
      <c r="BT39" s="119"/>
      <c r="BU39" s="119"/>
      <c r="BV39" s="119"/>
      <c r="BW39" s="119"/>
      <c r="BX39" s="119"/>
      <c r="BY39" s="119"/>
      <c r="BZ39" s="119"/>
      <c r="CA39" s="119"/>
      <c r="CB39" s="119"/>
      <c r="CC39" s="119"/>
      <c r="CD39" s="119"/>
    </row>
    <row r="40" spans="1:89" ht="17" thickBot="1" x14ac:dyDescent="0.25">
      <c r="G40" s="33" t="s">
        <v>25</v>
      </c>
      <c r="H40" s="10">
        <f>H39+20</f>
        <v>637.14326071739197</v>
      </c>
      <c r="I40" s="11">
        <v>640.42698359489395</v>
      </c>
      <c r="J40" s="8">
        <f t="shared" si="7"/>
        <v>3.2837228775019867</v>
      </c>
      <c r="L40" s="128">
        <f t="shared" si="8"/>
        <v>3.2837228775019867</v>
      </c>
      <c r="R40" s="30" t="s">
        <v>74</v>
      </c>
      <c r="S40" s="78">
        <v>19.596931219100952</v>
      </c>
      <c r="T40" s="93" t="b">
        <v>0</v>
      </c>
      <c r="U40" s="93" t="b">
        <v>0</v>
      </c>
      <c r="V40" s="75">
        <v>16.944648265838964</v>
      </c>
      <c r="W40" s="93" t="b">
        <v>0</v>
      </c>
      <c r="X40" s="93" t="b">
        <v>0</v>
      </c>
      <c r="Y40" s="94" t="b">
        <v>0</v>
      </c>
      <c r="Z40" s="1">
        <f>AVERAGE(S40:Y40)</f>
        <v>18.270789742469958</v>
      </c>
      <c r="AA40" s="1">
        <f>STDEV(S40:Y40)</f>
        <v>1.8754472618770346</v>
      </c>
      <c r="AB40" s="1">
        <v>5</v>
      </c>
      <c r="AC40" s="67">
        <f>(7-AB40)/7</f>
        <v>0.2857142857142857</v>
      </c>
      <c r="AE40" s="102">
        <v>0</v>
      </c>
      <c r="AF40" s="69">
        <v>1</v>
      </c>
      <c r="AJ40" s="2">
        <v>6</v>
      </c>
      <c r="AV40" s="100">
        <v>20</v>
      </c>
      <c r="AW40" s="69">
        <v>14.246892929078001</v>
      </c>
      <c r="BE40" s="100"/>
      <c r="BF40" s="69">
        <v>14.246892929078001</v>
      </c>
      <c r="BG40" s="1">
        <v>0</v>
      </c>
      <c r="BH40" s="1">
        <v>1</v>
      </c>
      <c r="BS40" s="119"/>
      <c r="BT40" s="119"/>
      <c r="BU40" s="119"/>
      <c r="BV40" s="119"/>
      <c r="BW40" s="119"/>
      <c r="BX40" s="119"/>
      <c r="BY40" s="119"/>
      <c r="BZ40" s="119"/>
      <c r="CA40" s="119"/>
      <c r="CB40" s="119"/>
      <c r="CC40" s="119"/>
      <c r="CD40" s="119"/>
    </row>
    <row r="41" spans="1:89" ht="17" thickBot="1" x14ac:dyDescent="0.25">
      <c r="A41" s="1" t="s">
        <v>38</v>
      </c>
      <c r="B41" s="1" t="s">
        <v>4</v>
      </c>
      <c r="H41" s="1" t="s">
        <v>53</v>
      </c>
      <c r="I41" s="1">
        <v>5</v>
      </c>
      <c r="J41" s="128"/>
      <c r="K41" s="128"/>
      <c r="L41" s="128">
        <f>AVERAGE(L26:L40)</f>
        <v>12.882180881500409</v>
      </c>
      <c r="R41" s="14" t="s">
        <v>75</v>
      </c>
      <c r="S41" s="91">
        <v>18.655852794648013</v>
      </c>
      <c r="T41" s="37" t="b">
        <v>0</v>
      </c>
      <c r="U41" s="11">
        <v>14.275756597518011</v>
      </c>
      <c r="V41" s="37" t="b">
        <v>0</v>
      </c>
      <c r="W41" s="11">
        <v>9.6375489234930001</v>
      </c>
      <c r="X41" s="37" t="b">
        <v>0</v>
      </c>
      <c r="Y41" s="89">
        <v>14.246892929078001</v>
      </c>
      <c r="Z41" s="1">
        <f>AVERAGE(W41:Y41,T41:U41)</f>
        <v>12.720066150029671</v>
      </c>
      <c r="AA41" s="1">
        <f>STDEV(T41:U41,W41:Y41)</f>
        <v>2.6695772355862735</v>
      </c>
      <c r="AB41" s="1">
        <v>3</v>
      </c>
      <c r="AC41" s="67">
        <f>(7-AB41)/7</f>
        <v>0.5714285714285714</v>
      </c>
      <c r="AE41" s="102">
        <v>0</v>
      </c>
      <c r="AF41" s="59">
        <v>0</v>
      </c>
      <c r="AJ41" s="13">
        <v>3</v>
      </c>
      <c r="AK41" s="120"/>
      <c r="AL41" s="120"/>
      <c r="AV41" s="98">
        <v>3.3445065021514893</v>
      </c>
      <c r="AW41" s="69">
        <v>3.2837228775019867</v>
      </c>
      <c r="AX41" s="1" t="s">
        <v>26</v>
      </c>
      <c r="BE41" s="98">
        <v>3.3445065021514893</v>
      </c>
      <c r="BF41" s="69">
        <v>3.2837228775019867</v>
      </c>
      <c r="BG41" s="1">
        <v>0</v>
      </c>
      <c r="BH41" s="1">
        <v>1</v>
      </c>
      <c r="BI41" s="1" t="s">
        <v>26</v>
      </c>
      <c r="BS41" s="119"/>
      <c r="BT41" s="119"/>
      <c r="BU41" s="119"/>
      <c r="BV41" s="119"/>
      <c r="BW41" s="119"/>
      <c r="BX41" s="119"/>
      <c r="BY41" s="119"/>
      <c r="BZ41" s="119"/>
      <c r="CA41" s="119"/>
      <c r="CB41" s="119"/>
      <c r="CC41" s="119"/>
      <c r="CD41" s="119"/>
    </row>
    <row r="42" spans="1:89" ht="17" thickBot="1" x14ac:dyDescent="0.25">
      <c r="A42" s="1" t="s">
        <v>169</v>
      </c>
      <c r="B42" s="1" t="s">
        <v>170</v>
      </c>
      <c r="C42" s="1" t="s">
        <v>171</v>
      </c>
      <c r="D42" s="1" t="s">
        <v>172</v>
      </c>
      <c r="E42" s="1" t="s">
        <v>173</v>
      </c>
      <c r="R42" s="7"/>
      <c r="S42" s="7"/>
      <c r="T42" s="7"/>
      <c r="AE42" s="103">
        <v>0</v>
      </c>
      <c r="AF42" s="89">
        <v>1</v>
      </c>
      <c r="AJ42" s="2">
        <v>0</v>
      </c>
      <c r="AV42" s="98">
        <v>3.7603597640991353</v>
      </c>
      <c r="AW42" s="69">
        <v>13.564145803460178</v>
      </c>
      <c r="BE42" s="98">
        <v>3.7603597640991353</v>
      </c>
      <c r="BF42" s="69">
        <v>13.564145803460178</v>
      </c>
      <c r="BG42" s="1">
        <v>0</v>
      </c>
      <c r="BH42" s="1">
        <v>1</v>
      </c>
      <c r="BS42" s="119"/>
      <c r="BT42" s="119"/>
      <c r="BU42" s="119"/>
      <c r="BV42" s="119"/>
      <c r="BW42" s="119"/>
      <c r="BX42" s="119"/>
      <c r="BY42" s="119"/>
      <c r="BZ42" s="119"/>
      <c r="CA42" s="119"/>
      <c r="CB42" s="119"/>
      <c r="CC42" s="119"/>
      <c r="CD42" s="119"/>
    </row>
    <row r="43" spans="1:89" ht="17" thickBot="1" x14ac:dyDescent="0.25">
      <c r="A43" s="1">
        <v>3.6111111111111098</v>
      </c>
      <c r="B43" s="1">
        <v>3.1578947368421</v>
      </c>
      <c r="C43" s="1">
        <v>3.8333333333333299</v>
      </c>
      <c r="D43" s="1">
        <v>3.8194444444444402</v>
      </c>
      <c r="E43" s="1">
        <v>1.4583333333333299</v>
      </c>
      <c r="R43" s="7"/>
      <c r="S43" s="7"/>
      <c r="AE43" s="78">
        <v>1</v>
      </c>
      <c r="AF43" s="72">
        <v>1</v>
      </c>
      <c r="AG43" s="66" t="s">
        <v>25</v>
      </c>
      <c r="AJ43" s="2">
        <v>2</v>
      </c>
      <c r="AV43" s="100">
        <v>20</v>
      </c>
      <c r="AW43" s="99">
        <v>20</v>
      </c>
      <c r="BE43" s="100"/>
      <c r="BF43" s="99"/>
      <c r="BG43" s="1">
        <v>0</v>
      </c>
      <c r="BH43" s="1">
        <v>1</v>
      </c>
      <c r="BS43" s="119"/>
      <c r="BT43" s="119"/>
      <c r="BU43" s="119"/>
      <c r="BV43" s="119"/>
      <c r="BW43" s="119"/>
      <c r="BX43" s="119"/>
      <c r="BY43" s="119"/>
      <c r="BZ43" s="119"/>
      <c r="CA43" s="119"/>
      <c r="CB43" s="119"/>
      <c r="CC43" s="119"/>
      <c r="CD43" s="119"/>
    </row>
    <row r="44" spans="1:89" ht="17" thickBot="1" x14ac:dyDescent="0.25">
      <c r="R44" s="1" t="s">
        <v>76</v>
      </c>
      <c r="S44" s="1" t="s">
        <v>25</v>
      </c>
      <c r="AE44" s="98">
        <v>1</v>
      </c>
      <c r="AF44" s="69">
        <v>1</v>
      </c>
      <c r="AJ44" s="13">
        <v>0</v>
      </c>
      <c r="AV44" s="98">
        <v>2.5832610130309988</v>
      </c>
      <c r="AW44" s="99">
        <v>20</v>
      </c>
      <c r="BE44" s="98">
        <v>2.5832610130309988</v>
      </c>
      <c r="BF44" s="99"/>
      <c r="BG44" s="1">
        <v>0</v>
      </c>
      <c r="BH44" s="1">
        <v>1</v>
      </c>
      <c r="BS44" s="119"/>
      <c r="BT44" s="119"/>
      <c r="BU44" s="119"/>
      <c r="BV44" s="119"/>
      <c r="BW44" s="119"/>
      <c r="BX44" s="119"/>
      <c r="BY44" s="119"/>
      <c r="BZ44" s="119"/>
      <c r="CA44" s="119"/>
      <c r="CB44" s="119"/>
      <c r="CC44" s="119"/>
      <c r="CD44" s="119"/>
    </row>
    <row r="45" spans="1:89" ht="17" thickBot="1" x14ac:dyDescent="0.25">
      <c r="B45" s="34" t="s">
        <v>11</v>
      </c>
      <c r="C45" s="1">
        <f>H47-$M$47</f>
        <v>0.98709297180175781</v>
      </c>
      <c r="G45" s="1" t="s">
        <v>229</v>
      </c>
      <c r="Z45" s="14" t="s">
        <v>61</v>
      </c>
      <c r="AA45" s="19" t="s">
        <v>62</v>
      </c>
      <c r="AB45" s="19" t="s">
        <v>77</v>
      </c>
      <c r="AC45" s="16" t="s">
        <v>63</v>
      </c>
      <c r="AE45" s="102">
        <v>0</v>
      </c>
      <c r="AF45" s="59">
        <v>0</v>
      </c>
      <c r="AJ45" s="13">
        <v>2</v>
      </c>
      <c r="AV45" s="98">
        <v>2.0698163509368825</v>
      </c>
      <c r="AW45" s="99">
        <v>20</v>
      </c>
      <c r="BE45" s="98">
        <v>2.0698163509368825</v>
      </c>
      <c r="BF45" s="99"/>
      <c r="BG45" s="1">
        <v>0</v>
      </c>
      <c r="BH45" s="1">
        <v>1</v>
      </c>
      <c r="BS45" s="119"/>
      <c r="BT45" s="119"/>
      <c r="BU45" s="119"/>
      <c r="BV45" s="119"/>
      <c r="BW45" s="119"/>
      <c r="BX45" s="119"/>
      <c r="BY45" s="119"/>
      <c r="BZ45" s="119"/>
      <c r="CA45" s="119"/>
      <c r="CB45" s="119"/>
      <c r="CC45" s="119"/>
      <c r="CD45" s="119"/>
    </row>
    <row r="46" spans="1:89" ht="17" thickBot="1" x14ac:dyDescent="0.25">
      <c r="B46" s="35" t="s">
        <v>12</v>
      </c>
      <c r="C46" s="1">
        <f>H48-$M$47</f>
        <v>20.987092971801758</v>
      </c>
      <c r="G46" s="1">
        <v>3</v>
      </c>
      <c r="H46" s="20" t="s">
        <v>45</v>
      </c>
      <c r="I46" s="21" t="s">
        <v>46</v>
      </c>
      <c r="J46" s="22" t="s">
        <v>47</v>
      </c>
      <c r="M46" s="23" t="s">
        <v>0</v>
      </c>
      <c r="O46" s="1" t="s">
        <v>5</v>
      </c>
      <c r="R46" s="30" t="s">
        <v>74</v>
      </c>
      <c r="S46" s="78">
        <v>3.3445065021514893</v>
      </c>
      <c r="T46" s="75">
        <v>3.7603597640991353</v>
      </c>
      <c r="U46" s="93" t="b">
        <v>0</v>
      </c>
      <c r="V46" s="75">
        <v>2.5832610130309988</v>
      </c>
      <c r="W46" s="75">
        <v>2.0698163509368825</v>
      </c>
      <c r="X46" s="75">
        <v>1.6196081638336146</v>
      </c>
      <c r="Y46" s="72">
        <v>2.3074648380279079</v>
      </c>
      <c r="Z46" s="1">
        <f>AVERAGE(S46:Y46)</f>
        <v>2.6141694386800047</v>
      </c>
      <c r="AA46" s="1">
        <f>STDEV(S46:Y46)</f>
        <v>0.80344756453192034</v>
      </c>
      <c r="AB46" s="1">
        <v>1</v>
      </c>
      <c r="AC46" s="67">
        <f>(7-AB46)/7</f>
        <v>0.8571428571428571</v>
      </c>
      <c r="AE46" s="98">
        <v>1</v>
      </c>
      <c r="AF46" s="59">
        <v>0</v>
      </c>
      <c r="AJ46" s="14">
        <v>5</v>
      </c>
      <c r="AQ46" s="104"/>
      <c r="AV46" s="98">
        <v>1.6196081638336146</v>
      </c>
      <c r="AW46" s="69">
        <v>19.990506649016993</v>
      </c>
      <c r="BE46" s="98">
        <v>1.6196081638336146</v>
      </c>
      <c r="BF46" s="69">
        <v>19.990506649016993</v>
      </c>
      <c r="BG46" s="1">
        <v>0</v>
      </c>
      <c r="BH46" s="1">
        <v>1</v>
      </c>
      <c r="BS46" s="119"/>
      <c r="BT46" s="119"/>
      <c r="BU46" s="119"/>
      <c r="BV46" s="119"/>
      <c r="BW46" s="119"/>
      <c r="BX46" s="119"/>
      <c r="BY46" s="119"/>
      <c r="BZ46" s="119"/>
      <c r="CA46" s="119"/>
      <c r="CB46" s="119"/>
      <c r="CC46" s="119"/>
      <c r="CD46" s="119"/>
      <c r="CK46" s="127"/>
    </row>
    <row r="47" spans="1:89" ht="17" thickBot="1" x14ac:dyDescent="0.25">
      <c r="B47" s="51" t="s">
        <v>13</v>
      </c>
      <c r="C47" s="52">
        <f>H49-$M$47</f>
        <v>40.987092971801758</v>
      </c>
      <c r="D47" s="53">
        <f>I49-H49</f>
        <v>3.8516030311582199</v>
      </c>
      <c r="E47" s="54">
        <v>1</v>
      </c>
      <c r="G47" s="34" t="s">
        <v>11</v>
      </c>
      <c r="H47" s="9">
        <f>M47+4-O47</f>
        <v>1113.0950100421817</v>
      </c>
      <c r="I47" s="7" t="b">
        <f>FALSE</f>
        <v>0</v>
      </c>
      <c r="J47" s="8" t="b">
        <f>IF(I47,I47-H47,FALSE)</f>
        <v>0</v>
      </c>
      <c r="M47" s="25">
        <v>1112.1079170703799</v>
      </c>
      <c r="O47" s="1">
        <v>3.01290702819824</v>
      </c>
      <c r="R47" s="14" t="s">
        <v>75</v>
      </c>
      <c r="S47" s="91">
        <v>3.2837228775019867</v>
      </c>
      <c r="T47" s="11">
        <v>13.564145803460178</v>
      </c>
      <c r="U47" s="37" t="b">
        <v>0</v>
      </c>
      <c r="V47" s="37" t="b">
        <v>0</v>
      </c>
      <c r="W47" s="37" t="b">
        <v>0</v>
      </c>
      <c r="X47" s="11">
        <v>19.990506649016993</v>
      </c>
      <c r="Y47" s="92" t="b">
        <v>0</v>
      </c>
      <c r="Z47" s="1">
        <f>AVERAGE(W47:Y47,T47:U47)</f>
        <v>16.777326226238586</v>
      </c>
      <c r="AA47" s="1">
        <f>STDEV(T47:U47,W47:Y47)</f>
        <v>4.5441233322449319</v>
      </c>
      <c r="AB47" s="1">
        <v>4</v>
      </c>
      <c r="AC47" s="67">
        <f>(7-AB47)/7</f>
        <v>0.42857142857142855</v>
      </c>
      <c r="AE47" s="98">
        <v>1</v>
      </c>
      <c r="AF47" s="59">
        <v>0</v>
      </c>
      <c r="AI47" s="97"/>
      <c r="AJ47" s="16">
        <v>2</v>
      </c>
      <c r="AV47" s="91">
        <v>2.3074648380279079</v>
      </c>
      <c r="AW47" s="117">
        <v>20</v>
      </c>
      <c r="BE47" s="91">
        <v>2.3074648380279079</v>
      </c>
      <c r="BF47" s="117"/>
      <c r="BG47" s="1">
        <v>0</v>
      </c>
      <c r="BH47" s="1">
        <v>1</v>
      </c>
      <c r="BS47" s="119"/>
      <c r="BT47" s="119"/>
      <c r="BU47" s="119"/>
      <c r="BV47" s="119"/>
      <c r="BW47" s="119"/>
      <c r="BX47" s="119"/>
      <c r="BY47" s="119"/>
      <c r="BZ47" s="119"/>
      <c r="CA47" s="119"/>
      <c r="CB47" s="119"/>
      <c r="CC47" s="119"/>
      <c r="CD47" s="119"/>
    </row>
    <row r="48" spans="1:89" ht="17" thickBot="1" x14ac:dyDescent="0.25">
      <c r="F48" s="3" t="s">
        <v>51</v>
      </c>
      <c r="G48" s="35" t="s">
        <v>12</v>
      </c>
      <c r="H48" s="9">
        <f>H47+20</f>
        <v>1133.0950100421817</v>
      </c>
      <c r="I48" s="6">
        <v>1151.0175898075099</v>
      </c>
      <c r="J48" s="8">
        <f t="shared" ref="J48:J61" si="9">IF(I48,I48-H48,FALSE)</f>
        <v>17.922579765328237</v>
      </c>
      <c r="M48" s="25">
        <v>1244.23892641067</v>
      </c>
      <c r="R48" s="7"/>
      <c r="S48" s="7"/>
      <c r="AE48" s="98">
        <v>1</v>
      </c>
      <c r="AF48" s="69">
        <v>1</v>
      </c>
      <c r="AU48" s="1" t="s">
        <v>81</v>
      </c>
      <c r="AV48" s="1">
        <f>AVERAGE(AV13:AV47)</f>
        <v>8.9864897524104101</v>
      </c>
      <c r="AW48" s="1">
        <f>AVERAGE(AW13:AW47)</f>
        <v>13.154532572853888</v>
      </c>
      <c r="BD48" s="1" t="s">
        <v>81</v>
      </c>
      <c r="BE48" s="1">
        <f>AVERAGE(BE13:BE47)</f>
        <v>5.1741208205524742</v>
      </c>
      <c r="BF48" s="1">
        <f>AVERAGE(BF13:BF47)</f>
        <v>9.8806133685666175</v>
      </c>
      <c r="BP48" s="126"/>
      <c r="BS48" s="119"/>
      <c r="BT48" s="119"/>
      <c r="BU48" s="119"/>
      <c r="BV48" s="119"/>
      <c r="BW48" s="119"/>
      <c r="BX48" s="119"/>
      <c r="BY48" s="119"/>
      <c r="BZ48" s="119"/>
      <c r="CA48" s="119"/>
      <c r="CB48" s="119"/>
      <c r="CC48" s="119"/>
      <c r="CD48" s="119"/>
    </row>
    <row r="49" spans="1:82" ht="17" thickBot="1" x14ac:dyDescent="0.25">
      <c r="B49" s="51" t="s">
        <v>16</v>
      </c>
      <c r="C49" s="52">
        <f>H52-$M$48</f>
        <v>44</v>
      </c>
      <c r="D49" s="53">
        <f>I50-H50</f>
        <v>11.036740064620062</v>
      </c>
      <c r="E49" s="54">
        <v>1</v>
      </c>
      <c r="G49" s="26" t="s">
        <v>13</v>
      </c>
      <c r="H49" s="9">
        <f>H48+20</f>
        <v>1153.0950100421817</v>
      </c>
      <c r="I49" s="5">
        <v>1156.9466130733399</v>
      </c>
      <c r="J49" s="8">
        <f t="shared" si="9"/>
        <v>3.8516030311582199</v>
      </c>
      <c r="L49" s="128">
        <f t="shared" ref="L48:L61" si="10">IF(J49=FALSE,20,J49)</f>
        <v>3.8516030311582199</v>
      </c>
      <c r="M49" s="25">
        <v>1381.36573195457</v>
      </c>
      <c r="R49" s="7"/>
      <c r="S49" s="7"/>
      <c r="AA49" s="30" t="s">
        <v>78</v>
      </c>
      <c r="AB49" s="32">
        <f>SUM(AB22,AB28,AB34,AB40,AB46)</f>
        <v>9</v>
      </c>
      <c r="AE49" s="91">
        <v>1</v>
      </c>
      <c r="AF49" s="92">
        <v>0</v>
      </c>
      <c r="AJ49" s="104"/>
      <c r="AK49"/>
      <c r="AL49"/>
      <c r="AU49" s="1" t="s">
        <v>79</v>
      </c>
      <c r="AV49" s="1">
        <f>STDEV(AV13:AV47)</f>
        <v>7.5807043307854087</v>
      </c>
      <c r="AW49" s="1">
        <f>STDEV(AW13:AW47)</f>
        <v>6.6456803192091902</v>
      </c>
      <c r="BD49" s="1" t="s">
        <v>79</v>
      </c>
      <c r="BE49" s="1">
        <f>STDEV(BE13:BE47)</f>
        <v>4.4014357052011093</v>
      </c>
      <c r="BF49" s="1">
        <f>STDEV(BF13:BF47)</f>
        <v>5.6224224826669777</v>
      </c>
      <c r="BS49" s="119"/>
      <c r="BT49" s="119"/>
      <c r="BU49" s="119"/>
      <c r="BV49" s="119"/>
      <c r="BW49" s="119"/>
      <c r="BX49" s="119"/>
      <c r="BY49" s="119"/>
      <c r="BZ49" s="119"/>
      <c r="CA49" s="119"/>
      <c r="CB49" s="119"/>
      <c r="CC49" s="119"/>
      <c r="CD49" s="119"/>
    </row>
    <row r="50" spans="1:82" ht="17" thickBot="1" x14ac:dyDescent="0.25">
      <c r="F50" s="3" t="s">
        <v>10</v>
      </c>
      <c r="G50" s="35" t="s">
        <v>14</v>
      </c>
      <c r="H50" s="9">
        <f>M48+4</f>
        <v>1248.23892641067</v>
      </c>
      <c r="I50" s="6">
        <v>1259.2756664752901</v>
      </c>
      <c r="J50" s="8">
        <f t="shared" si="9"/>
        <v>11.036740064620062</v>
      </c>
      <c r="M50" s="25">
        <v>1501.1876509189599</v>
      </c>
      <c r="R50" s="7"/>
      <c r="S50" s="7"/>
      <c r="AA50" s="14"/>
      <c r="AB50" s="16">
        <f>SUM(AB23,AB29,AB35,AB41,AB47)</f>
        <v>11</v>
      </c>
      <c r="AD50" s="1" t="s">
        <v>81</v>
      </c>
      <c r="AE50" s="1">
        <f>AVERAGE(AE15:AE49)</f>
        <v>0.74285714285714288</v>
      </c>
      <c r="AF50" s="1">
        <f>AVERAGE(AF15:AF49)</f>
        <v>0.68571428571428572</v>
      </c>
      <c r="AJ50" s="104"/>
      <c r="AU50" s="1" t="s">
        <v>88</v>
      </c>
      <c r="AV50" s="1">
        <f>CORREL(AV13:AV47,AW13:AW47)</f>
        <v>0.17427238520341989</v>
      </c>
      <c r="BD50" s="1" t="s">
        <v>88</v>
      </c>
      <c r="BE50" s="1">
        <f>CORREL(BE13:BF47,BG13:BH47)</f>
        <v>0.43176769835110118</v>
      </c>
      <c r="BS50" s="119"/>
      <c r="BT50" s="119"/>
      <c r="BU50" s="119"/>
      <c r="BV50" s="119"/>
      <c r="BW50" s="119"/>
      <c r="BX50" s="119"/>
      <c r="BY50" s="119"/>
      <c r="BZ50" s="119"/>
      <c r="CA50" s="119"/>
      <c r="CB50" s="119"/>
      <c r="CC50" s="119"/>
      <c r="CD50" s="119"/>
    </row>
    <row r="51" spans="1:82" ht="17" thickBot="1" x14ac:dyDescent="0.25">
      <c r="B51" s="51" t="s">
        <v>19</v>
      </c>
      <c r="C51" s="52">
        <f>H55-$M$49</f>
        <v>44</v>
      </c>
      <c r="D51" s="53">
        <f>I55-H55</f>
        <v>5.7971580028499829</v>
      </c>
      <c r="E51" s="54">
        <v>1</v>
      </c>
      <c r="G51" s="35" t="s">
        <v>15</v>
      </c>
      <c r="H51" s="9">
        <f>H50+20</f>
        <v>1268.23892641067</v>
      </c>
      <c r="I51" s="7" t="b">
        <f>FALSE</f>
        <v>0</v>
      </c>
      <c r="J51" s="8" t="b">
        <f t="shared" si="9"/>
        <v>0</v>
      </c>
      <c r="M51" s="29">
        <v>1630.1044034957799</v>
      </c>
      <c r="R51" s="7"/>
      <c r="S51" s="7"/>
      <c r="AD51" s="1" t="s">
        <v>79</v>
      </c>
      <c r="AE51" s="1">
        <f>STDEV(AE15:AE49)/SUM(AE15:AE49)</f>
        <v>1.7055368216583076E-2</v>
      </c>
      <c r="AF51" s="1">
        <f>STDEV(AF15:AF49)/25</f>
        <v>1.8840328638144225E-2</v>
      </c>
      <c r="BS51" s="119"/>
      <c r="BT51" s="119"/>
      <c r="BU51" s="119"/>
      <c r="BV51" s="119"/>
      <c r="BW51" s="119"/>
      <c r="BX51" s="119"/>
      <c r="BY51" s="119"/>
      <c r="BZ51" s="119"/>
      <c r="CA51" s="119"/>
      <c r="CB51" s="119"/>
      <c r="CC51" s="119"/>
      <c r="CD51" s="119"/>
    </row>
    <row r="52" spans="1:82" ht="17" thickBot="1" x14ac:dyDescent="0.25">
      <c r="G52" s="26" t="s">
        <v>16</v>
      </c>
      <c r="H52" s="9">
        <f>H51+20</f>
        <v>1288.23892641067</v>
      </c>
      <c r="I52" s="5">
        <v>1297.4666819572401</v>
      </c>
      <c r="J52" s="8">
        <f t="shared" si="9"/>
        <v>9.2277555465700516</v>
      </c>
      <c r="L52" s="128">
        <f t="shared" si="10"/>
        <v>9.2277555465700516</v>
      </c>
      <c r="AD52" s="1" t="s">
        <v>88</v>
      </c>
      <c r="AE52" s="1">
        <f>CORREL(AE15:AE49,AF15:AF49)</f>
        <v>2.4140227479263355E-2</v>
      </c>
      <c r="BS52" s="119"/>
      <c r="BT52" s="119"/>
      <c r="BU52" s="119"/>
      <c r="BV52" s="119"/>
      <c r="BW52" s="119"/>
      <c r="BX52" s="119"/>
      <c r="BY52" s="119"/>
      <c r="BZ52" s="119"/>
      <c r="CA52" s="119"/>
      <c r="CB52" s="119"/>
      <c r="CC52" s="119"/>
      <c r="CD52" s="119"/>
    </row>
    <row r="53" spans="1:82" ht="17" thickBot="1" x14ac:dyDescent="0.25">
      <c r="B53" s="51" t="s">
        <v>25</v>
      </c>
      <c r="C53" s="52">
        <f>H61-$M$51</f>
        <v>44</v>
      </c>
      <c r="D53" s="53">
        <f>I61-H61</f>
        <v>13.564145803460178</v>
      </c>
      <c r="E53" s="54">
        <v>1</v>
      </c>
      <c r="G53" s="35" t="s">
        <v>17</v>
      </c>
      <c r="H53" s="9">
        <f>M49+4</f>
        <v>1385.36573195457</v>
      </c>
      <c r="I53" s="7" t="b">
        <f>FALSE</f>
        <v>0</v>
      </c>
      <c r="J53" s="8" t="b">
        <f t="shared" si="9"/>
        <v>0</v>
      </c>
      <c r="AD53" s="1" t="s">
        <v>193</v>
      </c>
      <c r="AE53" s="1">
        <v>35</v>
      </c>
      <c r="AV53" s="97" t="s">
        <v>114</v>
      </c>
      <c r="BE53" s="97" t="s">
        <v>114</v>
      </c>
      <c r="BS53" s="119"/>
      <c r="BT53" s="119"/>
      <c r="BU53" s="119"/>
      <c r="BV53" s="119"/>
      <c r="BW53" s="119"/>
      <c r="BX53" s="119"/>
      <c r="BY53" s="119"/>
      <c r="BZ53" s="119"/>
      <c r="CA53" s="119"/>
      <c r="CB53" s="119"/>
      <c r="CC53" s="119"/>
      <c r="CD53" s="119"/>
    </row>
    <row r="54" spans="1:82" x14ac:dyDescent="0.2">
      <c r="G54" s="35" t="s">
        <v>18</v>
      </c>
      <c r="H54" s="9">
        <f>H53+20</f>
        <v>1405.36573195457</v>
      </c>
      <c r="I54" s="7" t="b">
        <f>FALSE</f>
        <v>0</v>
      </c>
      <c r="J54" s="8" t="b">
        <f t="shared" si="9"/>
        <v>0</v>
      </c>
      <c r="M54" s="118" t="s">
        <v>222</v>
      </c>
      <c r="R54" s="1" t="s">
        <v>116</v>
      </c>
      <c r="S54" s="1" t="s">
        <v>117</v>
      </c>
      <c r="AD54" s="1" t="s">
        <v>194</v>
      </c>
      <c r="AE54" s="1">
        <v>35</v>
      </c>
      <c r="AI54" s="97" t="s">
        <v>200</v>
      </c>
      <c r="BS54" s="119"/>
      <c r="BT54" s="119"/>
      <c r="BU54" s="119"/>
      <c r="BV54" s="119"/>
      <c r="BW54" s="119"/>
      <c r="BX54" s="119"/>
      <c r="BY54" s="119"/>
      <c r="BZ54" s="119"/>
      <c r="CA54" s="119"/>
      <c r="CB54" s="119"/>
      <c r="CC54" s="119"/>
      <c r="CD54" s="119"/>
    </row>
    <row r="55" spans="1:82" ht="17" thickBot="1" x14ac:dyDescent="0.25">
      <c r="G55" s="26" t="s">
        <v>19</v>
      </c>
      <c r="H55" s="9">
        <f>H54+20</f>
        <v>1425.36573195457</v>
      </c>
      <c r="I55" s="5">
        <v>1431.16288995742</v>
      </c>
      <c r="J55" s="8">
        <f t="shared" si="9"/>
        <v>5.7971580028499829</v>
      </c>
      <c r="L55" s="128">
        <f t="shared" si="10"/>
        <v>5.7971580028499829</v>
      </c>
      <c r="M55" s="118">
        <f>4/5</f>
        <v>0.8</v>
      </c>
      <c r="R55" s="1">
        <v>1</v>
      </c>
      <c r="S55" s="1">
        <v>5.7326474189754997</v>
      </c>
      <c r="AU55" s="1" t="s">
        <v>80</v>
      </c>
      <c r="AV55" s="1">
        <f>TTEST(AV13:AV47,AW14:AW47,1,3)</f>
        <v>8.8955891231252571E-3</v>
      </c>
      <c r="AW55" s="104" t="s">
        <v>84</v>
      </c>
      <c r="AX55"/>
      <c r="AY55"/>
      <c r="BD55" s="1" t="s">
        <v>80</v>
      </c>
      <c r="BE55" s="1">
        <f>TTEST(BE13:BE47,BF14:BF47,1,3)</f>
        <v>1.2012266316925684E-3</v>
      </c>
      <c r="BF55" s="104" t="s">
        <v>84</v>
      </c>
      <c r="BG55"/>
      <c r="BH55"/>
      <c r="BS55" s="119"/>
      <c r="BT55" s="119"/>
      <c r="BU55" s="119"/>
      <c r="BV55" s="119"/>
      <c r="BW55" s="119"/>
      <c r="BX55" s="119"/>
      <c r="BY55" s="119"/>
      <c r="BZ55" s="119"/>
      <c r="CA55" s="119"/>
      <c r="CB55" s="119"/>
      <c r="CC55" s="119"/>
      <c r="CD55" s="119"/>
    </row>
    <row r="56" spans="1:82" x14ac:dyDescent="0.2">
      <c r="F56" s="3" t="s">
        <v>51</v>
      </c>
      <c r="G56" s="35" t="s">
        <v>20</v>
      </c>
      <c r="H56" s="9">
        <f>M50+4</f>
        <v>1505.1876509189599</v>
      </c>
      <c r="I56" s="6">
        <v>1525.15438389778</v>
      </c>
      <c r="J56" s="8">
        <f t="shared" si="9"/>
        <v>19.966732978820119</v>
      </c>
      <c r="S56" s="1">
        <v>6.7492830750000001</v>
      </c>
      <c r="AC56" s="30"/>
      <c r="AD56" s="31"/>
      <c r="AE56" s="31" t="s">
        <v>195</v>
      </c>
      <c r="AF56" s="31" t="s">
        <v>201</v>
      </c>
      <c r="AG56" s="31" t="s">
        <v>196</v>
      </c>
      <c r="AH56" s="31"/>
      <c r="AI56" s="31"/>
      <c r="AJ56" s="31" t="s">
        <v>203</v>
      </c>
      <c r="AK56" s="31" t="s">
        <v>204</v>
      </c>
      <c r="AL56" s="31" t="s">
        <v>78</v>
      </c>
      <c r="AM56" s="31"/>
      <c r="AN56" s="31"/>
      <c r="AO56" s="32"/>
      <c r="AU56" s="1" t="s">
        <v>80</v>
      </c>
      <c r="AV56" s="1">
        <f>TTEST(AV13:AV47,AW14:AW47,2,3)</f>
        <v>1.7791178246250514E-2</v>
      </c>
      <c r="AW56" s="104" t="s">
        <v>85</v>
      </c>
      <c r="BD56" s="1" t="s">
        <v>80</v>
      </c>
      <c r="BE56" s="1">
        <f>TTEST(BE13:BE47,BF14:BF47,2,3)</f>
        <v>2.4024532633851368E-3</v>
      </c>
      <c r="BF56" s="104" t="s">
        <v>85</v>
      </c>
      <c r="BS56" s="119"/>
      <c r="BT56" s="119"/>
      <c r="BU56" s="119"/>
      <c r="BV56" s="119"/>
      <c r="BW56" s="119"/>
      <c r="BX56" s="119"/>
      <c r="BY56" s="119"/>
      <c r="BZ56" s="119"/>
      <c r="CA56" s="119"/>
      <c r="CB56" s="119"/>
      <c r="CC56" s="119"/>
      <c r="CD56" s="119"/>
    </row>
    <row r="57" spans="1:82" x14ac:dyDescent="0.2">
      <c r="G57" s="35" t="s">
        <v>21</v>
      </c>
      <c r="H57" s="9">
        <f>H56+20</f>
        <v>1525.1876509189599</v>
      </c>
      <c r="I57" s="7" t="b">
        <f>FALSE</f>
        <v>0</v>
      </c>
      <c r="J57" s="8" t="b">
        <f t="shared" si="9"/>
        <v>0</v>
      </c>
      <c r="S57" s="118">
        <v>20</v>
      </c>
      <c r="AC57" s="13" t="s">
        <v>82</v>
      </c>
      <c r="AD57" s="1" t="s">
        <v>197</v>
      </c>
      <c r="AE57" s="1">
        <f>SUM(AE15:AE49)</f>
        <v>26</v>
      </c>
      <c r="AF57" s="1">
        <f>AG57-AE57</f>
        <v>9</v>
      </c>
      <c r="AG57" s="1">
        <f>AE54</f>
        <v>35</v>
      </c>
      <c r="AI57" s="1" t="s">
        <v>202</v>
      </c>
      <c r="AJ57" s="1">
        <f>AE60^2/AE59</f>
        <v>0.04</v>
      </c>
      <c r="AK57" s="1">
        <f>AF60^2/AF59</f>
        <v>0.1</v>
      </c>
      <c r="AL57" s="1">
        <f>AJ57+AK57</f>
        <v>0.14000000000000001</v>
      </c>
      <c r="AO57" s="2"/>
      <c r="BS57" s="119"/>
      <c r="BT57" s="119"/>
      <c r="BU57" s="119"/>
      <c r="BV57" s="119"/>
      <c r="BW57" s="119"/>
      <c r="BX57" s="119"/>
      <c r="BY57" s="119"/>
      <c r="BZ57" s="119"/>
      <c r="CA57" s="119"/>
      <c r="CB57" s="119"/>
      <c r="CC57" s="119"/>
      <c r="CD57" s="119"/>
    </row>
    <row r="58" spans="1:82" x14ac:dyDescent="0.2">
      <c r="G58" s="26" t="s">
        <v>22</v>
      </c>
      <c r="H58" s="9">
        <f>H57+20</f>
        <v>1545.1876509189599</v>
      </c>
      <c r="I58" s="17" t="b">
        <v>0</v>
      </c>
      <c r="J58" s="8" t="b">
        <f t="shared" si="9"/>
        <v>0</v>
      </c>
      <c r="L58" s="128">
        <f t="shared" si="10"/>
        <v>20</v>
      </c>
      <c r="S58" s="1">
        <v>19.596931219100952</v>
      </c>
      <c r="AC58" s="13"/>
      <c r="AE58" s="120">
        <f>AE57/AE54</f>
        <v>0.74285714285714288</v>
      </c>
      <c r="AF58" s="120">
        <f>AF57/AE54</f>
        <v>0.25714285714285712</v>
      </c>
      <c r="AG58" s="120">
        <f>AE58+AF58</f>
        <v>1</v>
      </c>
      <c r="AI58" s="1" t="s">
        <v>4</v>
      </c>
      <c r="AJ58" s="1">
        <f>AE65^2/AE64</f>
        <v>0.04</v>
      </c>
      <c r="AK58" s="1">
        <f>AF65^2/AF64</f>
        <v>0.1</v>
      </c>
      <c r="AL58" s="1">
        <f>AJ58+AK58</f>
        <v>0.14000000000000001</v>
      </c>
      <c r="AO58" s="2"/>
      <c r="BS58" s="119"/>
      <c r="BT58" s="119"/>
      <c r="BU58" s="119"/>
      <c r="BV58" s="119"/>
      <c r="BW58" s="119"/>
      <c r="BX58" s="119"/>
      <c r="BY58" s="119"/>
      <c r="BZ58" s="119"/>
      <c r="CA58" s="119"/>
      <c r="CB58" s="119"/>
      <c r="CC58" s="119"/>
      <c r="CD58" s="119"/>
    </row>
    <row r="59" spans="1:82" x14ac:dyDescent="0.2">
      <c r="F59" s="3" t="s">
        <v>51</v>
      </c>
      <c r="G59" s="35" t="s">
        <v>23</v>
      </c>
      <c r="H59" s="9">
        <f>M51+4</f>
        <v>1634.1044034957799</v>
      </c>
      <c r="I59" s="6">
        <v>1646.3438036441801</v>
      </c>
      <c r="J59" s="8">
        <f t="shared" si="9"/>
        <v>12.239400148400136</v>
      </c>
      <c r="S59" s="1">
        <v>3.3445065021514893</v>
      </c>
      <c r="AC59" s="13"/>
      <c r="AD59" s="1" t="s">
        <v>198</v>
      </c>
      <c r="AE59" s="1">
        <f>AE67*AG57</f>
        <v>25</v>
      </c>
      <c r="AF59" s="1">
        <f>AF67*AG57</f>
        <v>10</v>
      </c>
      <c r="AI59" s="1" t="s">
        <v>196</v>
      </c>
      <c r="AJ59" s="1">
        <f>AJ57+AJ58</f>
        <v>0.08</v>
      </c>
      <c r="AK59" s="1">
        <f>AK57+AK58</f>
        <v>0.2</v>
      </c>
      <c r="AL59" s="1">
        <f>AL57+AL58</f>
        <v>0.28000000000000003</v>
      </c>
      <c r="AM59" s="1" t="s">
        <v>206</v>
      </c>
      <c r="AO59" s="2"/>
      <c r="AV59" s="1" t="e" cm="1">
        <f t="array" ref="AV59">S</f>
        <v>#NAME?</v>
      </c>
      <c r="BS59" s="119"/>
      <c r="BT59" s="119"/>
      <c r="BU59" s="119"/>
      <c r="BV59" s="119"/>
      <c r="BW59" s="119"/>
      <c r="BX59" s="119"/>
      <c r="BY59" s="119"/>
      <c r="BZ59" s="119"/>
      <c r="CA59" s="119"/>
      <c r="CB59" s="119"/>
      <c r="CC59" s="119"/>
      <c r="CD59" s="119"/>
    </row>
    <row r="60" spans="1:82" x14ac:dyDescent="0.2">
      <c r="G60" s="35" t="s">
        <v>24</v>
      </c>
      <c r="H60" s="9">
        <f>H59+20</f>
        <v>1654.1044034957799</v>
      </c>
      <c r="I60" s="7" t="b">
        <f>FALSE</f>
        <v>0</v>
      </c>
      <c r="J60" s="8" t="b">
        <f t="shared" si="9"/>
        <v>0</v>
      </c>
      <c r="R60" s="1">
        <v>2</v>
      </c>
      <c r="S60" s="118">
        <v>20</v>
      </c>
      <c r="AC60" s="13"/>
      <c r="AD60" s="1" t="s">
        <v>199</v>
      </c>
      <c r="AE60" s="1">
        <f>AE57-AE59</f>
        <v>1</v>
      </c>
      <c r="AF60" s="1">
        <f>AF57-AF59</f>
        <v>-1</v>
      </c>
      <c r="AO60" s="2"/>
      <c r="BS60" s="119"/>
      <c r="BT60" s="119"/>
      <c r="BU60" s="119"/>
      <c r="BV60" s="119"/>
      <c r="BW60" s="119"/>
      <c r="BX60" s="119"/>
      <c r="BY60" s="119"/>
      <c r="BZ60" s="119"/>
      <c r="CA60" s="119"/>
      <c r="CB60" s="119"/>
      <c r="CC60" s="119"/>
      <c r="CD60" s="119"/>
    </row>
    <row r="61" spans="1:82" ht="17" thickBot="1" x14ac:dyDescent="0.25">
      <c r="A61" s="1" t="s">
        <v>40</v>
      </c>
      <c r="B61" s="1" t="s">
        <v>41</v>
      </c>
      <c r="C61" s="1" t="s">
        <v>2</v>
      </c>
      <c r="G61" s="33" t="s">
        <v>25</v>
      </c>
      <c r="H61" s="10">
        <f>H60+20</f>
        <v>1674.1044034957799</v>
      </c>
      <c r="I61" s="11">
        <v>1687.6685492992401</v>
      </c>
      <c r="J61" s="8">
        <f t="shared" si="9"/>
        <v>13.564145803460178</v>
      </c>
      <c r="L61" s="128">
        <f t="shared" si="10"/>
        <v>13.564145803460178</v>
      </c>
      <c r="S61" s="118">
        <v>6.2666506770000003</v>
      </c>
      <c r="AC61" s="13"/>
      <c r="AJ61" s="1" t="s">
        <v>205</v>
      </c>
      <c r="AK61" s="1">
        <f>CHIINV(0.05,1)</f>
        <v>3.8414588206941236</v>
      </c>
      <c r="AO61" s="2"/>
    </row>
    <row r="62" spans="1:82" x14ac:dyDescent="0.2">
      <c r="C62" s="1" t="s">
        <v>3</v>
      </c>
      <c r="H62" s="1" t="s">
        <v>53</v>
      </c>
      <c r="I62" s="1">
        <v>4</v>
      </c>
      <c r="L62" s="128">
        <f>AVERAGE(L47:L61)</f>
        <v>10.488132476807687</v>
      </c>
      <c r="S62" s="118">
        <v>16.20467805862404</v>
      </c>
      <c r="AC62" s="13" t="s">
        <v>59</v>
      </c>
      <c r="AD62" s="1" t="s">
        <v>197</v>
      </c>
      <c r="AE62" s="1">
        <f>SUM(AF15:AF49)</f>
        <v>24</v>
      </c>
      <c r="AF62" s="1">
        <f>AG62-AE62</f>
        <v>11</v>
      </c>
      <c r="AG62" s="1">
        <f>AE53</f>
        <v>35</v>
      </c>
      <c r="AO62" s="2"/>
      <c r="BT62" s="1" t="s">
        <v>59</v>
      </c>
    </row>
    <row r="63" spans="1:82" x14ac:dyDescent="0.2">
      <c r="A63" s="1" t="s">
        <v>169</v>
      </c>
      <c r="B63" s="1" t="s">
        <v>170</v>
      </c>
      <c r="C63" s="1" t="s">
        <v>171</v>
      </c>
      <c r="D63" s="1" t="s">
        <v>172</v>
      </c>
      <c r="E63" s="1" t="s">
        <v>173</v>
      </c>
      <c r="S63" s="118">
        <v>18.655852794648013</v>
      </c>
      <c r="AC63" s="13"/>
      <c r="AE63" s="120">
        <f>AE62/AE53</f>
        <v>0.68571428571428572</v>
      </c>
      <c r="AF63" s="120">
        <f>AF62/AE53</f>
        <v>0.31428571428571428</v>
      </c>
      <c r="AG63" s="120">
        <f>AE63+AF63</f>
        <v>1</v>
      </c>
      <c r="AJ63" s="1">
        <v>26</v>
      </c>
      <c r="AK63" s="1">
        <v>9</v>
      </c>
      <c r="AL63" s="1" t="s">
        <v>215</v>
      </c>
      <c r="AO63" s="2"/>
      <c r="AU63" s="1" t="s">
        <v>119</v>
      </c>
      <c r="BT63" s="1" t="s">
        <v>188</v>
      </c>
      <c r="BU63" s="1" t="s">
        <v>172</v>
      </c>
      <c r="BY63" s="1" t="s">
        <v>188</v>
      </c>
      <c r="BZ63" s="1" t="s">
        <v>170</v>
      </c>
    </row>
    <row r="64" spans="1:82" x14ac:dyDescent="0.2">
      <c r="A64" s="1">
        <v>3.3333333333333299</v>
      </c>
      <c r="B64" s="1">
        <v>2.7631578947368398</v>
      </c>
      <c r="C64" s="1">
        <v>3.6666666666666599</v>
      </c>
      <c r="D64" s="1">
        <v>3.75</v>
      </c>
      <c r="E64" s="1">
        <v>1.94444444444444</v>
      </c>
      <c r="S64" s="118">
        <v>3.2837228775019867</v>
      </c>
      <c r="AC64" s="13"/>
      <c r="AD64" s="1" t="s">
        <v>198</v>
      </c>
      <c r="AE64" s="1">
        <f>AE67*AG62</f>
        <v>25</v>
      </c>
      <c r="AF64" s="1">
        <f>AF67*AG62</f>
        <v>10</v>
      </c>
      <c r="AJ64" s="1">
        <v>24</v>
      </c>
      <c r="AK64" s="1">
        <v>11</v>
      </c>
      <c r="AO64" s="2"/>
      <c r="BT64" s="1" t="s">
        <v>187</v>
      </c>
      <c r="BU64" s="1">
        <f>PEARSON(CC12:CC18,BY12:BY18)</f>
        <v>-0.53562551523830448</v>
      </c>
      <c r="BY64" s="1" t="s">
        <v>187</v>
      </c>
      <c r="BZ64" s="1">
        <f>PEARSON(CA12:CA18,BY12:BY18)</f>
        <v>-0.25156986063319869</v>
      </c>
    </row>
    <row r="65" spans="2:80" ht="17" thickBot="1" x14ac:dyDescent="0.25">
      <c r="R65" s="1">
        <v>3</v>
      </c>
      <c r="S65" s="1">
        <v>3.8516030309999998</v>
      </c>
      <c r="AC65" s="13"/>
      <c r="AD65" s="1" t="s">
        <v>199</v>
      </c>
      <c r="AE65" s="1">
        <f>AE62-AE64</f>
        <v>-1</v>
      </c>
      <c r="AF65" s="1">
        <f>AF62-AF64</f>
        <v>1</v>
      </c>
      <c r="AJ65" s="1">
        <v>25</v>
      </c>
      <c r="AK65" s="1">
        <v>10</v>
      </c>
      <c r="AO65" s="2"/>
      <c r="AV65" s="1" t="s">
        <v>118</v>
      </c>
      <c r="BT65" s="1" t="s">
        <v>190</v>
      </c>
      <c r="BU65" s="1">
        <v>7</v>
      </c>
      <c r="BV65" s="1" t="s">
        <v>191</v>
      </c>
      <c r="BW65" s="1">
        <f>BU65-2</f>
        <v>5</v>
      </c>
      <c r="BY65" s="1" t="s">
        <v>190</v>
      </c>
      <c r="BZ65" s="1">
        <v>7</v>
      </c>
      <c r="CA65" s="1" t="s">
        <v>191</v>
      </c>
      <c r="CB65" s="1">
        <f>BZ65-2</f>
        <v>5</v>
      </c>
    </row>
    <row r="66" spans="2:80" x14ac:dyDescent="0.2">
      <c r="B66" s="24" t="s">
        <v>26</v>
      </c>
      <c r="C66" s="40">
        <f>H69-M69</f>
        <v>0.97166538238526456</v>
      </c>
      <c r="D66" s="49">
        <f>I69-H69</f>
        <v>3.7603597640991353</v>
      </c>
      <c r="E66" s="41">
        <v>1</v>
      </c>
      <c r="S66" s="1">
        <v>9.2277555469999992</v>
      </c>
      <c r="AC66" s="13" t="s">
        <v>78</v>
      </c>
      <c r="AE66" s="1">
        <f>AE57+AE62</f>
        <v>50</v>
      </c>
      <c r="AF66" s="1">
        <f>AF57+AF62</f>
        <v>20</v>
      </c>
      <c r="AG66" s="1">
        <f>AE66+AF66</f>
        <v>70</v>
      </c>
      <c r="AJ66" s="1">
        <v>25</v>
      </c>
      <c r="AK66" s="1">
        <v>10</v>
      </c>
      <c r="AO66" s="2"/>
      <c r="AV66" s="78" t="s">
        <v>120</v>
      </c>
      <c r="BT66" s="1" t="s">
        <v>189</v>
      </c>
      <c r="BU66" s="1">
        <f>ABS(BU64)*SQRT((BU65-2))/(1-BU64^2)</f>
        <v>1.6795486586404176</v>
      </c>
      <c r="BY66" s="1" t="s">
        <v>189</v>
      </c>
      <c r="BZ66" s="1">
        <f>ABS(BZ64)*SQRT((BZ65-2))/(1-BZ64^2)</f>
        <v>0.60053351084484119</v>
      </c>
    </row>
    <row r="67" spans="2:80" ht="17" thickBot="1" x14ac:dyDescent="0.25">
      <c r="B67" s="26" t="s">
        <v>27</v>
      </c>
      <c r="C67" s="13">
        <f>H70-M69</f>
        <v>20.971665382385265</v>
      </c>
      <c r="D67" s="45">
        <f>I70-H70</f>
        <v>3.2937157154083323</v>
      </c>
      <c r="E67" s="2">
        <v>1</v>
      </c>
      <c r="G67" s="1" t="s">
        <v>228</v>
      </c>
      <c r="S67" s="1">
        <v>5.7971580028499829</v>
      </c>
      <c r="AC67" s="13"/>
      <c r="AE67" s="1">
        <f>AE66/AG66</f>
        <v>0.7142857142857143</v>
      </c>
      <c r="AF67" s="1">
        <f>AF66/AG66</f>
        <v>0.2857142857142857</v>
      </c>
      <c r="AO67" s="2"/>
      <c r="AV67" s="98" t="s">
        <v>121</v>
      </c>
      <c r="BT67" s="1" t="s">
        <v>192</v>
      </c>
      <c r="BU67" s="1">
        <f>TDIST(BU66,BW65,2)</f>
        <v>0.15388095384846806</v>
      </c>
      <c r="BY67" s="1" t="s">
        <v>192</v>
      </c>
      <c r="BZ67" s="1">
        <f>TDIST(BZ66,CB65,2)</f>
        <v>0.5743315531559483</v>
      </c>
    </row>
    <row r="68" spans="2:80" ht="17" thickBot="1" x14ac:dyDescent="0.25">
      <c r="B68" s="33" t="s">
        <v>13</v>
      </c>
      <c r="C68" s="42">
        <f>H71-M69</f>
        <v>40.971665382385268</v>
      </c>
      <c r="D68" s="50">
        <f>I71-H71</f>
        <v>2.8110604286193279</v>
      </c>
      <c r="E68" s="43">
        <v>1</v>
      </c>
      <c r="G68" s="1">
        <v>4</v>
      </c>
      <c r="H68" s="20" t="s">
        <v>45</v>
      </c>
      <c r="I68" s="21" t="s">
        <v>46</v>
      </c>
      <c r="J68" s="22" t="s">
        <v>47</v>
      </c>
      <c r="M68" s="23" t="s">
        <v>0</v>
      </c>
      <c r="O68" s="1" t="s">
        <v>5</v>
      </c>
      <c r="S68" s="118">
        <v>20</v>
      </c>
      <c r="AC68" s="14"/>
      <c r="AD68" s="19"/>
      <c r="AE68" s="19"/>
      <c r="AF68" s="19"/>
      <c r="AG68" s="19"/>
      <c r="AH68" s="19"/>
      <c r="AI68" s="19"/>
      <c r="AJ68" s="20" t="s">
        <v>208</v>
      </c>
      <c r="AK68" s="22">
        <f>_xlfn.CHISQ.TEST(AJ63:AK64,AJ65:AK66)</f>
        <v>0.59670121672935628</v>
      </c>
      <c r="AL68" s="121" t="s">
        <v>207</v>
      </c>
      <c r="AM68" s="19"/>
      <c r="AN68" s="19"/>
      <c r="AO68" s="16"/>
      <c r="AV68" s="116" t="s">
        <v>122</v>
      </c>
    </row>
    <row r="69" spans="2:80" ht="17" thickBot="1" x14ac:dyDescent="0.25">
      <c r="D69" s="45"/>
      <c r="G69" s="24" t="s">
        <v>26</v>
      </c>
      <c r="H69" s="30">
        <f>M69+4-O69</f>
        <v>30.630291223525965</v>
      </c>
      <c r="I69" s="36">
        <v>34.390650987625101</v>
      </c>
      <c r="J69" s="8">
        <f>IF(I69,I69-H69,FALSE)</f>
        <v>3.7603597640991353</v>
      </c>
      <c r="L69" s="128">
        <f>IF(J69=FALSE,20,J69)</f>
        <v>3.7603597640991353</v>
      </c>
      <c r="M69" s="25">
        <v>29.658625841140701</v>
      </c>
      <c r="O69" s="1">
        <v>3.0283346176147399</v>
      </c>
      <c r="S69" s="1">
        <v>13.564145803460178</v>
      </c>
      <c r="AV69" s="116" t="s">
        <v>123</v>
      </c>
      <c r="BT69" s="1" t="s">
        <v>188</v>
      </c>
      <c r="BU69" s="1" t="s">
        <v>169</v>
      </c>
      <c r="BY69" s="1" t="s">
        <v>188</v>
      </c>
      <c r="BZ69" s="1" t="s">
        <v>171</v>
      </c>
    </row>
    <row r="70" spans="2:80" x14ac:dyDescent="0.2">
      <c r="B70" s="24" t="s">
        <v>28</v>
      </c>
      <c r="C70" s="30">
        <f>H72-M70</f>
        <v>4</v>
      </c>
      <c r="D70" s="47">
        <f>I72-H72</f>
        <v>12.787783145904001</v>
      </c>
      <c r="E70" s="32">
        <v>1</v>
      </c>
      <c r="G70" s="26" t="s">
        <v>27</v>
      </c>
      <c r="H70" s="13">
        <f>H69+20</f>
        <v>50.630291223525965</v>
      </c>
      <c r="I70" s="1">
        <v>53.924006938934298</v>
      </c>
      <c r="J70" s="8">
        <f t="shared" ref="J70:J83" si="11">IF(I70,I70-H70,FALSE)</f>
        <v>3.2937157154083323</v>
      </c>
      <c r="L70" s="128">
        <f t="shared" ref="L70:L83" si="12">IF(J70=FALSE,20,J70)</f>
        <v>3.2937157154083323</v>
      </c>
      <c r="M70" s="25">
        <v>173.19599270820601</v>
      </c>
      <c r="R70" s="1">
        <v>4</v>
      </c>
      <c r="S70" s="1">
        <v>2.8110604289999999</v>
      </c>
      <c r="AV70" s="98" t="s">
        <v>124</v>
      </c>
      <c r="BT70" s="1" t="s">
        <v>187</v>
      </c>
      <c r="BU70" s="1">
        <f>PEARSON(BZ12:BZ18,BY12:BY18)</f>
        <v>-0.3596197862818879</v>
      </c>
      <c r="BY70" s="1" t="s">
        <v>187</v>
      </c>
      <c r="BZ70" s="1">
        <f>PEARSON(CB12:CB18,BY12:BY18)</f>
        <v>-0.34900085943319925</v>
      </c>
    </row>
    <row r="71" spans="2:80" x14ac:dyDescent="0.2">
      <c r="B71" s="26" t="s">
        <v>29</v>
      </c>
      <c r="C71" s="13">
        <f>H73-M70</f>
        <v>24</v>
      </c>
      <c r="D71" s="45">
        <f>I73-H73</f>
        <v>3.9761743545529953</v>
      </c>
      <c r="E71" s="2">
        <v>1</v>
      </c>
      <c r="G71" s="26" t="s">
        <v>13</v>
      </c>
      <c r="H71" s="13">
        <f>H70+20</f>
        <v>70.630291223525973</v>
      </c>
      <c r="I71" s="4">
        <v>73.4413516521453</v>
      </c>
      <c r="J71" s="8">
        <f t="shared" si="11"/>
        <v>2.8110604286193279</v>
      </c>
      <c r="L71" s="128">
        <f t="shared" si="12"/>
        <v>2.8110604286193279</v>
      </c>
      <c r="M71" s="25">
        <v>303.42690205574002</v>
      </c>
      <c r="S71" s="1">
        <v>5.1499001980000001</v>
      </c>
      <c r="AV71" s="98" t="s">
        <v>125</v>
      </c>
      <c r="BT71" s="1" t="s">
        <v>190</v>
      </c>
      <c r="BU71" s="1">
        <v>7</v>
      </c>
      <c r="BV71" s="1" t="s">
        <v>191</v>
      </c>
      <c r="BW71" s="1">
        <f>BU71-2</f>
        <v>5</v>
      </c>
      <c r="BY71" s="1" t="s">
        <v>190</v>
      </c>
      <c r="BZ71" s="1">
        <v>7</v>
      </c>
      <c r="CA71" s="1" t="s">
        <v>191</v>
      </c>
      <c r="CB71" s="1">
        <f>BZ71-2</f>
        <v>5</v>
      </c>
    </row>
    <row r="72" spans="2:80" ht="17" thickBot="1" x14ac:dyDescent="0.25">
      <c r="B72" s="33" t="s">
        <v>16</v>
      </c>
      <c r="C72" s="42">
        <f>H74-M70</f>
        <v>44</v>
      </c>
      <c r="D72" s="50">
        <f>I74-H74</f>
        <v>5.1499001979819923</v>
      </c>
      <c r="E72" s="43">
        <v>1</v>
      </c>
      <c r="G72" s="26" t="s">
        <v>28</v>
      </c>
      <c r="H72" s="13">
        <f>M70+4</f>
        <v>177.19599270820601</v>
      </c>
      <c r="I72" s="1">
        <v>189.98377585411001</v>
      </c>
      <c r="J72" s="8">
        <f t="shared" si="11"/>
        <v>12.787783145904001</v>
      </c>
      <c r="L72" s="128">
        <f t="shared" si="12"/>
        <v>12.787783145904001</v>
      </c>
      <c r="M72" s="25">
        <v>417.056456804275</v>
      </c>
      <c r="S72" s="1">
        <v>4.7009787559509846</v>
      </c>
      <c r="AV72" s="98" t="s">
        <v>126</v>
      </c>
      <c r="BT72" s="1" t="s">
        <v>189</v>
      </c>
      <c r="BU72" s="1">
        <f>ABS(BU70)*SQRT((BU71-2))/(1-BU70^2)</f>
        <v>0.92357719308076403</v>
      </c>
      <c r="BY72" s="1" t="s">
        <v>189</v>
      </c>
      <c r="BZ72" s="1">
        <f>ABS(BZ70)*SQRT((BZ71-2))/(1-BZ70^2)</f>
        <v>0.88862567478646015</v>
      </c>
    </row>
    <row r="73" spans="2:80" ht="17" thickBot="1" x14ac:dyDescent="0.25">
      <c r="D73" s="45"/>
      <c r="G73" s="26" t="s">
        <v>29</v>
      </c>
      <c r="H73" s="13">
        <f>H72+20</f>
        <v>197.19599270820601</v>
      </c>
      <c r="I73" s="1">
        <v>201.172167062759</v>
      </c>
      <c r="J73" s="8">
        <f t="shared" si="11"/>
        <v>3.9761743545529953</v>
      </c>
      <c r="L73" s="128">
        <f t="shared" si="12"/>
        <v>3.9761743545529953</v>
      </c>
      <c r="M73" s="29">
        <v>551.075005292892</v>
      </c>
      <c r="S73" s="118">
        <v>20</v>
      </c>
      <c r="AV73" s="98" t="s">
        <v>127</v>
      </c>
      <c r="BT73" s="1" t="s">
        <v>192</v>
      </c>
      <c r="BU73" s="1">
        <f>TDIST(BU72,BW71,2)</f>
        <v>0.39808732688072868</v>
      </c>
      <c r="BY73" s="1" t="s">
        <v>192</v>
      </c>
      <c r="BZ73" s="1">
        <f>TDIST(BZ72,CB71,2)</f>
        <v>0.41490421380056652</v>
      </c>
    </row>
    <row r="74" spans="2:80" x14ac:dyDescent="0.2">
      <c r="B74" s="24" t="s">
        <v>30</v>
      </c>
      <c r="C74" s="31">
        <f>H75-$M$71</f>
        <v>4</v>
      </c>
      <c r="D74" s="47">
        <f>I75-$H$75</f>
        <v>5.2583048343659584</v>
      </c>
      <c r="E74" s="32">
        <v>1</v>
      </c>
      <c r="G74" s="26" t="s">
        <v>16</v>
      </c>
      <c r="H74" s="13">
        <f>H73+20</f>
        <v>217.19599270820601</v>
      </c>
      <c r="I74" s="4">
        <v>222.345892906188</v>
      </c>
      <c r="J74" s="8">
        <f t="shared" si="11"/>
        <v>5.1499001979819923</v>
      </c>
      <c r="L74" s="128">
        <f t="shared" si="12"/>
        <v>5.1499001979819923</v>
      </c>
      <c r="S74" s="1">
        <v>3.7603597640991353</v>
      </c>
      <c r="AV74" s="116" t="s">
        <v>128</v>
      </c>
    </row>
    <row r="75" spans="2:80" x14ac:dyDescent="0.2">
      <c r="B75" s="26" t="s">
        <v>31</v>
      </c>
      <c r="C75" s="1">
        <f>H76-$M$71</f>
        <v>24</v>
      </c>
      <c r="D75" s="45">
        <f>I76-$H$76</f>
        <v>7.1855750083919929</v>
      </c>
      <c r="E75" s="2">
        <v>1</v>
      </c>
      <c r="G75" s="26" t="s">
        <v>30</v>
      </c>
      <c r="H75" s="13">
        <f>M71+4</f>
        <v>307.42690205574002</v>
      </c>
      <c r="I75" s="1">
        <v>312.68520689010597</v>
      </c>
      <c r="J75" s="8">
        <f t="shared" si="11"/>
        <v>5.2583048343659584</v>
      </c>
      <c r="L75" s="128">
        <f t="shared" si="12"/>
        <v>5.2583048343659584</v>
      </c>
      <c r="R75" s="1">
        <v>5</v>
      </c>
      <c r="S75" s="1">
        <v>4.2386837010000002</v>
      </c>
      <c r="AD75" s="1">
        <f>AE60/AE59+(AF60)^2/AF59+(AE65)^2/AE64+AF65/AF64</f>
        <v>0.28000000000000003</v>
      </c>
      <c r="AV75" s="116" t="s">
        <v>129</v>
      </c>
      <c r="BT75" s="1" t="s">
        <v>188</v>
      </c>
      <c r="BU75" s="1" t="s">
        <v>173</v>
      </c>
    </row>
    <row r="76" spans="2:80" ht="17" thickBot="1" x14ac:dyDescent="0.25">
      <c r="B76" s="33" t="s">
        <v>19</v>
      </c>
      <c r="C76" s="15">
        <f>H77-$M$71</f>
        <v>44</v>
      </c>
      <c r="D76" s="50">
        <f>I77-$H$77</f>
        <v>4.7009787559509846</v>
      </c>
      <c r="E76" s="43">
        <v>1</v>
      </c>
      <c r="G76" s="26" t="s">
        <v>31</v>
      </c>
      <c r="H76" s="13">
        <f>H75+20</f>
        <v>327.42690205574002</v>
      </c>
      <c r="I76" s="1">
        <v>334.61247706413201</v>
      </c>
      <c r="J76" s="8">
        <f t="shared" si="11"/>
        <v>7.1855750083919929</v>
      </c>
      <c r="L76" s="128">
        <f t="shared" si="12"/>
        <v>7.1855750083919929</v>
      </c>
      <c r="M76" s="118" t="s">
        <v>222</v>
      </c>
      <c r="S76" s="118">
        <v>20</v>
      </c>
      <c r="AC76" s="1" t="s">
        <v>191</v>
      </c>
      <c r="AD76" s="1">
        <f>1</f>
        <v>1</v>
      </c>
      <c r="AV76" s="116" t="s">
        <v>130</v>
      </c>
      <c r="BT76" s="1" t="s">
        <v>187</v>
      </c>
      <c r="BU76" s="1">
        <f>PEARSON(CD12:CD18,BY12:BY18)</f>
        <v>0.82180287736115176</v>
      </c>
    </row>
    <row r="77" spans="2:80" ht="17" thickBot="1" x14ac:dyDescent="0.25">
      <c r="D77" s="45"/>
      <c r="G77" s="26" t="s">
        <v>19</v>
      </c>
      <c r="H77" s="13">
        <f>H76+20</f>
        <v>347.42690205574002</v>
      </c>
      <c r="I77" s="4">
        <v>352.127880811691</v>
      </c>
      <c r="J77" s="8">
        <f t="shared" si="11"/>
        <v>4.7009787559509846</v>
      </c>
      <c r="L77" s="128">
        <f t="shared" si="12"/>
        <v>4.7009787559509846</v>
      </c>
      <c r="M77" s="118">
        <v>0.8</v>
      </c>
      <c r="S77" s="1">
        <v>6.8787989616399727</v>
      </c>
      <c r="AV77" s="98" t="s">
        <v>131</v>
      </c>
      <c r="BT77" s="1" t="s">
        <v>190</v>
      </c>
      <c r="BU77" s="1">
        <v>7</v>
      </c>
      <c r="BV77" s="1" t="s">
        <v>191</v>
      </c>
      <c r="BW77" s="1">
        <f>BU77-2</f>
        <v>5</v>
      </c>
    </row>
    <row r="78" spans="2:80" x14ac:dyDescent="0.2">
      <c r="B78" s="24" t="s">
        <v>32</v>
      </c>
      <c r="C78" s="31">
        <f>H78-$M$72</f>
        <v>4</v>
      </c>
      <c r="D78" s="47">
        <f>I78-$H$78</f>
        <v>14.097820043564013</v>
      </c>
      <c r="E78" s="32">
        <v>1</v>
      </c>
      <c r="G78" s="26" t="s">
        <v>32</v>
      </c>
      <c r="H78" s="13">
        <f>M72+4</f>
        <v>421.056456804275</v>
      </c>
      <c r="I78" s="1">
        <v>435.15427684783901</v>
      </c>
      <c r="J78" s="8">
        <f t="shared" si="11"/>
        <v>14.097820043564013</v>
      </c>
      <c r="L78" s="128">
        <f t="shared" si="12"/>
        <v>14.097820043564013</v>
      </c>
      <c r="S78" s="118">
        <v>20</v>
      </c>
      <c r="AE78" s="107" t="s">
        <v>82</v>
      </c>
      <c r="AF78" s="106" t="s">
        <v>59</v>
      </c>
      <c r="AV78" s="98" t="s">
        <v>132</v>
      </c>
      <c r="BT78" s="1" t="s">
        <v>189</v>
      </c>
      <c r="BU78" s="1">
        <f>ABS(BU76)*SQRT((BU77-2))/(1-BU76^2)</f>
        <v>5.6604451816285444</v>
      </c>
    </row>
    <row r="79" spans="2:80" ht="17" thickBot="1" x14ac:dyDescent="0.25">
      <c r="B79" s="33" t="s">
        <v>33</v>
      </c>
      <c r="C79" s="19">
        <f>H80-$M$72</f>
        <v>44</v>
      </c>
      <c r="D79" s="46">
        <f>I80-$H$80</f>
        <v>10.627446413039991</v>
      </c>
      <c r="E79" s="16">
        <v>1</v>
      </c>
      <c r="G79" s="26" t="s">
        <v>22</v>
      </c>
      <c r="H79" s="13">
        <f>H78+20</f>
        <v>441.056456804275</v>
      </c>
      <c r="I79" s="17" t="b">
        <f>FALSE</f>
        <v>0</v>
      </c>
      <c r="J79" s="8" t="b">
        <f t="shared" si="11"/>
        <v>0</v>
      </c>
      <c r="S79" s="118">
        <v>20</v>
      </c>
      <c r="AE79" s="25">
        <f t="shared" ref="AE79:AF85" si="13">SUM(AE15,AE22,AE29,AE36,AE43)</f>
        <v>4</v>
      </c>
      <c r="AF79" s="2">
        <f t="shared" si="13"/>
        <v>5</v>
      </c>
      <c r="AV79" s="116" t="s">
        <v>133</v>
      </c>
      <c r="BT79" s="1" t="s">
        <v>192</v>
      </c>
      <c r="BU79" s="1">
        <f>TDIST(BU78,BW77,2)</f>
        <v>2.3921372703108418E-3</v>
      </c>
    </row>
    <row r="80" spans="2:80" ht="17" thickBot="1" x14ac:dyDescent="0.25">
      <c r="D80" s="45"/>
      <c r="G80" s="26" t="s">
        <v>33</v>
      </c>
      <c r="H80" s="13">
        <f>H79+20</f>
        <v>461.056456804275</v>
      </c>
      <c r="I80" s="1">
        <v>471.68390321731499</v>
      </c>
      <c r="J80" s="8">
        <f t="shared" si="11"/>
        <v>10.627446413039991</v>
      </c>
      <c r="L80" s="128">
        <f t="shared" si="12"/>
        <v>10.627446413039991</v>
      </c>
      <c r="R80" s="1">
        <v>6</v>
      </c>
      <c r="S80" s="1">
        <v>3.1743116379999998</v>
      </c>
      <c r="AE80" s="25">
        <f t="shared" si="13"/>
        <v>4</v>
      </c>
      <c r="AF80" s="2">
        <f t="shared" si="13"/>
        <v>4</v>
      </c>
      <c r="AV80" s="98" t="s">
        <v>134</v>
      </c>
    </row>
    <row r="81" spans="1:80" x14ac:dyDescent="0.2">
      <c r="B81" s="24" t="s">
        <v>34</v>
      </c>
      <c r="C81" s="31">
        <f>H81-$M$73</f>
        <v>4</v>
      </c>
      <c r="D81" s="47">
        <f>I81-$H$81</f>
        <v>7.779854774474984</v>
      </c>
      <c r="E81" s="32">
        <v>1</v>
      </c>
      <c r="G81" s="26" t="s">
        <v>34</v>
      </c>
      <c r="H81" s="13">
        <f>M73+4</f>
        <v>555.075005292892</v>
      </c>
      <c r="I81" s="1">
        <v>562.85486006736699</v>
      </c>
      <c r="J81" s="8">
        <f t="shared" si="11"/>
        <v>7.779854774474984</v>
      </c>
      <c r="L81" s="128">
        <f t="shared" si="12"/>
        <v>7.779854774474984</v>
      </c>
      <c r="S81" s="1">
        <v>3.1448078160000001</v>
      </c>
      <c r="AE81" s="25">
        <f t="shared" si="13"/>
        <v>2</v>
      </c>
      <c r="AF81" s="2">
        <f t="shared" si="13"/>
        <v>4</v>
      </c>
      <c r="AV81" s="116" t="s">
        <v>135</v>
      </c>
      <c r="BT81" s="1" t="s">
        <v>41</v>
      </c>
    </row>
    <row r="82" spans="1:80" ht="17" thickBot="1" x14ac:dyDescent="0.25">
      <c r="B82" s="33" t="s">
        <v>36</v>
      </c>
      <c r="C82" s="19">
        <f>H83-$M$73</f>
        <v>44</v>
      </c>
      <c r="D82" s="46">
        <f>I83-$H$83</f>
        <v>6.004594326018946</v>
      </c>
      <c r="E82" s="16">
        <v>1</v>
      </c>
      <c r="F82" s="3" t="s">
        <v>9</v>
      </c>
      <c r="G82" s="26" t="s">
        <v>35</v>
      </c>
      <c r="H82" s="13">
        <f>H81+20</f>
        <v>575.075005292892</v>
      </c>
      <c r="I82" s="1" t="b">
        <v>1</v>
      </c>
      <c r="J82" s="8"/>
      <c r="S82" s="1">
        <v>17.809106588363989</v>
      </c>
      <c r="AE82" s="25">
        <f t="shared" si="13"/>
        <v>5</v>
      </c>
      <c r="AF82" s="2">
        <f t="shared" si="13"/>
        <v>1</v>
      </c>
      <c r="AI82"/>
      <c r="AV82" s="98" t="s">
        <v>136</v>
      </c>
    </row>
    <row r="83" spans="1:80" ht="17" thickBot="1" x14ac:dyDescent="0.25">
      <c r="G83" s="33" t="s">
        <v>36</v>
      </c>
      <c r="H83" s="14">
        <f>H82+20</f>
        <v>595.075005292892</v>
      </c>
      <c r="I83" s="19">
        <v>601.07959961891095</v>
      </c>
      <c r="J83" s="8">
        <f t="shared" si="11"/>
        <v>6.004594326018946</v>
      </c>
      <c r="L83" s="128">
        <f t="shared" si="12"/>
        <v>6.004594326018946</v>
      </c>
      <c r="S83" s="1">
        <v>14.275756597518011</v>
      </c>
      <c r="AE83" s="25">
        <f t="shared" si="13"/>
        <v>4</v>
      </c>
      <c r="AF83" s="2">
        <f t="shared" si="13"/>
        <v>3</v>
      </c>
      <c r="AV83" s="116" t="s">
        <v>137</v>
      </c>
      <c r="BT83" s="1" t="s">
        <v>188</v>
      </c>
      <c r="BU83" s="1" t="s">
        <v>169</v>
      </c>
      <c r="BY83" s="1" t="s">
        <v>188</v>
      </c>
      <c r="BZ83" s="1" t="s">
        <v>170</v>
      </c>
    </row>
    <row r="84" spans="1:80" x14ac:dyDescent="0.2">
      <c r="A84" s="1" t="s">
        <v>73</v>
      </c>
      <c r="B84" s="1" t="s">
        <v>41</v>
      </c>
      <c r="C84" s="129" t="s">
        <v>2</v>
      </c>
      <c r="D84" s="129"/>
      <c r="H84" s="1" t="s">
        <v>53</v>
      </c>
      <c r="I84" s="1">
        <v>4</v>
      </c>
      <c r="L84" s="128">
        <f>AVERAGE(L71:L83)</f>
        <v>7.3072265711695623</v>
      </c>
      <c r="S84" s="118">
        <v>20</v>
      </c>
      <c r="AE84" s="25">
        <f t="shared" si="13"/>
        <v>4</v>
      </c>
      <c r="AF84" s="2">
        <f t="shared" si="13"/>
        <v>4</v>
      </c>
      <c r="AI84" s="97" t="s">
        <v>83</v>
      </c>
      <c r="AV84" s="116" t="s">
        <v>138</v>
      </c>
      <c r="BT84" s="1" t="s">
        <v>187</v>
      </c>
      <c r="BU84" s="1">
        <f>PEARSON(BX12:BX18,BS12:BS18)</f>
        <v>0.33483951372070586</v>
      </c>
      <c r="BY84" s="1" t="s">
        <v>187</v>
      </c>
      <c r="BZ84" s="1">
        <f>PEARSON(BX12:BX18,BT12:BT18)</f>
        <v>0.93053102214416006</v>
      </c>
    </row>
    <row r="85" spans="1:80" ht="17" thickBot="1" x14ac:dyDescent="0.25">
      <c r="C85" s="1" t="s">
        <v>3</v>
      </c>
      <c r="R85" s="1">
        <v>7</v>
      </c>
      <c r="S85" s="118">
        <v>20</v>
      </c>
      <c r="AE85" s="29">
        <f t="shared" si="13"/>
        <v>3</v>
      </c>
      <c r="AF85" s="16">
        <f t="shared" si="13"/>
        <v>3</v>
      </c>
      <c r="AV85" s="98" t="s">
        <v>139</v>
      </c>
      <c r="BT85" s="1" t="s">
        <v>190</v>
      </c>
      <c r="BU85" s="1">
        <v>7</v>
      </c>
      <c r="BV85" s="1" t="s">
        <v>191</v>
      </c>
      <c r="BW85" s="1">
        <f>BU85-2</f>
        <v>5</v>
      </c>
      <c r="BY85" s="1" t="s">
        <v>190</v>
      </c>
      <c r="BZ85" s="1">
        <v>7</v>
      </c>
      <c r="CA85" s="1" t="s">
        <v>191</v>
      </c>
      <c r="CB85" s="1">
        <f>BZ85-2</f>
        <v>5</v>
      </c>
    </row>
    <row r="86" spans="1:80" x14ac:dyDescent="0.2">
      <c r="A86" s="1" t="s">
        <v>169</v>
      </c>
      <c r="B86" s="1" t="s">
        <v>170</v>
      </c>
      <c r="C86" s="1" t="s">
        <v>171</v>
      </c>
      <c r="D86" s="1" t="s">
        <v>172</v>
      </c>
      <c r="E86" s="1" t="s">
        <v>173</v>
      </c>
      <c r="S86" s="1">
        <v>3.8519842620000002</v>
      </c>
      <c r="AD86" s="1" t="s">
        <v>81</v>
      </c>
      <c r="AE86" s="1">
        <f>AVERAGE(AE79:AE85)/5</f>
        <v>0.74285714285714288</v>
      </c>
      <c r="AF86" s="1">
        <f>AVERAGE(AF79:AF85)/5</f>
        <v>0.68571428571428572</v>
      </c>
      <c r="AH86" s="1" t="s">
        <v>80</v>
      </c>
      <c r="AI86" s="1">
        <f>TTEST(AE79:AE85,AF79:AF85,1,1)</f>
        <v>0.35150411575188389</v>
      </c>
      <c r="AJ86" s="104" t="s">
        <v>84</v>
      </c>
      <c r="AK86"/>
      <c r="AL86"/>
      <c r="AV86" s="116" t="s">
        <v>140</v>
      </c>
      <c r="BT86" s="1" t="s">
        <v>189</v>
      </c>
      <c r="BU86" s="1">
        <f>ABS(BU84)*SQRT((BU85-2))/(1-BU84^2)</f>
        <v>0.84326914224486682</v>
      </c>
      <c r="BY86" s="1" t="s">
        <v>189</v>
      </c>
      <c r="BZ86" s="1">
        <f>ABS(BZ84)*SQRT((BZ85-2))/(1-BZ84^2)</f>
        <v>15.514870851322952</v>
      </c>
    </row>
    <row r="87" spans="1:80" x14ac:dyDescent="0.2">
      <c r="A87" s="1">
        <v>4.1666666666666599</v>
      </c>
      <c r="B87" s="1">
        <v>3.9473684210526301</v>
      </c>
      <c r="C87" s="1">
        <v>2.5</v>
      </c>
      <c r="D87" s="1">
        <v>3.9583333333333299</v>
      </c>
      <c r="E87" s="1">
        <v>2.7083333333333299</v>
      </c>
      <c r="S87" s="118">
        <v>20</v>
      </c>
      <c r="AD87" s="1" t="s">
        <v>79</v>
      </c>
      <c r="AE87" s="1">
        <f>STDEV(AE79:AE85)/5</f>
        <v>0.19023794624226839</v>
      </c>
      <c r="AF87" s="1">
        <f>STDEV(AF79:AF85)/5</f>
        <v>0.25448360411214066</v>
      </c>
      <c r="AH87" s="1" t="s">
        <v>80</v>
      </c>
      <c r="AI87" s="1">
        <f>TTEST(AE26:AE86,AF26:AF86,2,3)</f>
        <v>6.309241341038184E-2</v>
      </c>
      <c r="AJ87" s="104" t="s">
        <v>85</v>
      </c>
      <c r="AV87" s="116" t="s">
        <v>141</v>
      </c>
      <c r="BT87" s="1" t="s">
        <v>192</v>
      </c>
      <c r="BU87" s="1">
        <f>TDIST(BU86,BW85,2)</f>
        <v>0.43754765693178049</v>
      </c>
      <c r="BY87" s="1" t="s">
        <v>192</v>
      </c>
      <c r="BZ87" s="1">
        <f>TDIST(BZ86,CB85,2)</f>
        <v>2.020337640178844E-5</v>
      </c>
    </row>
    <row r="88" spans="1:80" ht="17" thickBot="1" x14ac:dyDescent="0.25">
      <c r="S88" s="118">
        <v>20</v>
      </c>
      <c r="AV88" s="98" t="s">
        <v>142</v>
      </c>
    </row>
    <row r="89" spans="1:80" x14ac:dyDescent="0.2">
      <c r="B89" s="34" t="s">
        <v>26</v>
      </c>
      <c r="C89" s="30">
        <f>22.84361743927-M92</f>
        <v>0.94138002395630238</v>
      </c>
      <c r="D89" s="47">
        <v>20</v>
      </c>
      <c r="E89" s="32">
        <v>0</v>
      </c>
      <c r="S89" s="118">
        <v>20</v>
      </c>
      <c r="AV89" s="116" t="s">
        <v>143</v>
      </c>
      <c r="BT89" s="1" t="s">
        <v>188</v>
      </c>
      <c r="BU89" s="1" t="s">
        <v>171</v>
      </c>
      <c r="BY89" s="1" t="s">
        <v>188</v>
      </c>
      <c r="BZ89" s="1" t="s">
        <v>172</v>
      </c>
    </row>
    <row r="90" spans="1:80" ht="17" thickBot="1" x14ac:dyDescent="0.25">
      <c r="B90" s="26" t="s">
        <v>27</v>
      </c>
      <c r="C90" s="13">
        <f>C89+20</f>
        <v>20.941380023956302</v>
      </c>
      <c r="D90" s="45">
        <f>I93-C90</f>
        <v>26.866336584091098</v>
      </c>
      <c r="E90" s="2">
        <v>1</v>
      </c>
      <c r="G90" s="1" t="s">
        <v>228</v>
      </c>
      <c r="R90" s="1">
        <v>8</v>
      </c>
      <c r="S90" s="1">
        <v>3.490306854</v>
      </c>
      <c r="AV90" s="116" t="s">
        <v>144</v>
      </c>
      <c r="BT90" s="1" t="s">
        <v>187</v>
      </c>
      <c r="BU90" s="1">
        <f>PEARSON(BX12:BX18,BU12:BU18)</f>
        <v>-6.2347566200763205E-2</v>
      </c>
      <c r="BY90" s="1" t="s">
        <v>187</v>
      </c>
      <c r="BZ90" s="1">
        <f>PEARSON(BX12:BX18,BV12:BV18)</f>
        <v>0.43152054759728636</v>
      </c>
    </row>
    <row r="91" spans="1:80" ht="17" thickBot="1" x14ac:dyDescent="0.25">
      <c r="B91" s="26" t="s">
        <v>13</v>
      </c>
      <c r="C91" s="30">
        <f>C90+20</f>
        <v>40.941380023956299</v>
      </c>
      <c r="D91" s="46">
        <f>I94-C91</f>
        <v>26.140921115875202</v>
      </c>
      <c r="E91" s="16">
        <v>1</v>
      </c>
      <c r="G91" s="1">
        <v>5</v>
      </c>
      <c r="H91" s="20" t="s">
        <v>45</v>
      </c>
      <c r="I91" s="21" t="s">
        <v>46</v>
      </c>
      <c r="J91" s="22" t="s">
        <v>47</v>
      </c>
      <c r="M91" s="23" t="s">
        <v>0</v>
      </c>
      <c r="O91" s="1" t="s">
        <v>5</v>
      </c>
      <c r="S91" s="1">
        <v>10.886933089999999</v>
      </c>
      <c r="AV91" s="91" t="s">
        <v>145</v>
      </c>
      <c r="BT91" s="1" t="s">
        <v>190</v>
      </c>
      <c r="BU91" s="1">
        <v>7</v>
      </c>
      <c r="BV91" s="1" t="s">
        <v>191</v>
      </c>
      <c r="BW91" s="1">
        <f>BU91-2</f>
        <v>5</v>
      </c>
      <c r="BY91" s="1" t="s">
        <v>190</v>
      </c>
      <c r="BZ91" s="1">
        <v>7</v>
      </c>
      <c r="CA91" s="1" t="s">
        <v>191</v>
      </c>
      <c r="CB91" s="1">
        <f>BZ91-2</f>
        <v>5</v>
      </c>
    </row>
    <row r="92" spans="1:80" ht="17" thickBot="1" x14ac:dyDescent="0.25">
      <c r="D92" s="45"/>
      <c r="G92" s="24" t="s">
        <v>26</v>
      </c>
      <c r="H92" s="30">
        <f>M92+4-O92</f>
        <v>22.843617439269998</v>
      </c>
      <c r="I92" s="17" t="b">
        <f>FALSE</f>
        <v>0</v>
      </c>
      <c r="J92" s="8" t="b">
        <f>IF(I92,I92-H92,FALSE)</f>
        <v>0</v>
      </c>
      <c r="L92" s="128">
        <f>IF(J92=FALSE,20,J92)</f>
        <v>20</v>
      </c>
      <c r="M92" s="25">
        <v>21.902237415313699</v>
      </c>
      <c r="O92" s="1">
        <v>3.0586199760436998</v>
      </c>
      <c r="S92" s="1">
        <v>3.9430983066559975</v>
      </c>
      <c r="AV92" s="69" t="s">
        <v>146</v>
      </c>
      <c r="BT92" s="1" t="s">
        <v>189</v>
      </c>
      <c r="BU92" s="1">
        <f>ABS(BU90)*SQRT((BU91-2))/(1-BU90^2)</f>
        <v>0.13995744148386402</v>
      </c>
      <c r="BY92" s="1" t="s">
        <v>189</v>
      </c>
      <c r="BZ92" s="1">
        <f>ABS(BZ90)*SQRT((BZ91-2))/(1-BZ90^2)</f>
        <v>1.1856981014229857</v>
      </c>
    </row>
    <row r="93" spans="1:80" x14ac:dyDescent="0.2">
      <c r="B93" s="60" t="s">
        <v>28</v>
      </c>
      <c r="C93" s="30">
        <f>H95-M93</f>
        <v>4</v>
      </c>
      <c r="D93" s="47">
        <f>I95-H95</f>
        <v>4.7693951129910204</v>
      </c>
      <c r="E93" s="32">
        <v>1</v>
      </c>
      <c r="G93" s="26" t="s">
        <v>27</v>
      </c>
      <c r="H93" s="13">
        <f>H92+20</f>
        <v>42.843617439269998</v>
      </c>
      <c r="I93" s="1">
        <v>47.8077166080474</v>
      </c>
      <c r="J93" s="8">
        <f t="shared" ref="J93:J106" si="14">IF(I93,I93-H93,FALSE)</f>
        <v>4.9640991687774019</v>
      </c>
      <c r="L93" s="128">
        <f t="shared" ref="L93:L106" si="15">IF(J93=FALSE,20,J93)</f>
        <v>4.9640991687774019</v>
      </c>
      <c r="M93" s="25">
        <v>150.59386420249899</v>
      </c>
      <c r="S93" s="1">
        <v>16.944648265838964</v>
      </c>
      <c r="AV93" s="70" t="s">
        <v>147</v>
      </c>
      <c r="BT93" s="1" t="s">
        <v>192</v>
      </c>
      <c r="BU93" s="1">
        <f>TDIST(BU92,BW91,2)</f>
        <v>0.89415676639694497</v>
      </c>
      <c r="BY93" s="1" t="s">
        <v>192</v>
      </c>
      <c r="BZ93" s="1">
        <f>TDIST(BZ92,CB91,2)</f>
        <v>0.28901352181728984</v>
      </c>
    </row>
    <row r="94" spans="1:80" x14ac:dyDescent="0.2">
      <c r="B94" s="100" t="s">
        <v>29</v>
      </c>
      <c r="C94" s="13">
        <f>H96-M93</f>
        <v>24</v>
      </c>
      <c r="D94" s="45">
        <v>20</v>
      </c>
      <c r="E94" s="2">
        <v>0</v>
      </c>
      <c r="G94" s="26" t="s">
        <v>13</v>
      </c>
      <c r="H94" s="13">
        <f>H93+20</f>
        <v>62.843617439269998</v>
      </c>
      <c r="I94" s="4">
        <v>67.0823011398315</v>
      </c>
      <c r="J94" s="8">
        <f t="shared" si="14"/>
        <v>4.2386837005615021</v>
      </c>
      <c r="L94" s="128">
        <f t="shared" si="15"/>
        <v>4.2386837005615021</v>
      </c>
      <c r="M94" s="25">
        <v>283.754412174224</v>
      </c>
      <c r="S94" s="1">
        <v>2.5832610130309988</v>
      </c>
      <c r="AV94" s="70" t="s">
        <v>148</v>
      </c>
    </row>
    <row r="95" spans="1:80" ht="17" thickBot="1" x14ac:dyDescent="0.25">
      <c r="B95" s="100" t="s">
        <v>16</v>
      </c>
      <c r="C95" s="14">
        <f>H97-M93</f>
        <v>44</v>
      </c>
      <c r="D95" s="46">
        <v>20</v>
      </c>
      <c r="E95" s="16">
        <v>0</v>
      </c>
      <c r="G95" s="26" t="s">
        <v>28</v>
      </c>
      <c r="H95" s="13">
        <f>M93+4</f>
        <v>154.59386420249899</v>
      </c>
      <c r="I95" s="1">
        <v>159.36325931549001</v>
      </c>
      <c r="J95" s="8">
        <f t="shared" si="14"/>
        <v>4.7693951129910204</v>
      </c>
      <c r="L95" s="128">
        <f t="shared" si="15"/>
        <v>4.7693951129910204</v>
      </c>
      <c r="M95" s="25">
        <v>414.13445186614899</v>
      </c>
      <c r="R95" s="1">
        <v>9</v>
      </c>
      <c r="S95" s="1">
        <v>6.162629366</v>
      </c>
      <c r="AE95" s="118" t="s">
        <v>222</v>
      </c>
      <c r="AM95" s="1" t="s">
        <v>223</v>
      </c>
      <c r="AV95" s="70" t="s">
        <v>149</v>
      </c>
    </row>
    <row r="96" spans="1:80" ht="17" thickBot="1" x14ac:dyDescent="0.25">
      <c r="D96" s="45"/>
      <c r="G96" s="26" t="s">
        <v>29</v>
      </c>
      <c r="H96" s="13">
        <f>H95+20</f>
        <v>174.59386420249899</v>
      </c>
      <c r="I96" s="1" t="b">
        <v>0</v>
      </c>
      <c r="J96" s="8" t="b">
        <f t="shared" si="14"/>
        <v>0</v>
      </c>
      <c r="L96" s="128">
        <f t="shared" si="15"/>
        <v>20</v>
      </c>
      <c r="M96" s="29">
        <v>559.19296598434403</v>
      </c>
      <c r="S96" s="1">
        <v>8.6273071770000005</v>
      </c>
      <c r="AD96" s="1" t="s">
        <v>82</v>
      </c>
      <c r="AE96" s="118">
        <f>0.8*5</f>
        <v>4</v>
      </c>
      <c r="AF96" s="118">
        <f>0.8*5</f>
        <v>4</v>
      </c>
      <c r="AG96" s="118">
        <v>3</v>
      </c>
      <c r="AH96" s="1">
        <v>5</v>
      </c>
      <c r="AI96" s="118">
        <v>4</v>
      </c>
      <c r="AJ96" s="118">
        <v>4</v>
      </c>
      <c r="AK96" s="118">
        <v>3</v>
      </c>
      <c r="AV96" s="70" t="s">
        <v>150</v>
      </c>
      <c r="BT96" s="1" t="s">
        <v>188</v>
      </c>
      <c r="BU96" s="1" t="s">
        <v>173</v>
      </c>
    </row>
    <row r="97" spans="1:76" x14ac:dyDescent="0.2">
      <c r="B97" s="26" t="s">
        <v>30</v>
      </c>
      <c r="C97" s="30">
        <v>4</v>
      </c>
      <c r="D97" s="123">
        <f>I98-H98</f>
        <v>4.9058165550239892</v>
      </c>
      <c r="E97" s="32">
        <v>1</v>
      </c>
      <c r="G97" s="26" t="s">
        <v>16</v>
      </c>
      <c r="H97" s="13">
        <f>H96+20</f>
        <v>194.59386420249899</v>
      </c>
      <c r="I97" s="17" t="b">
        <f>FALSE</f>
        <v>0</v>
      </c>
      <c r="J97" s="8" t="b">
        <f t="shared" si="14"/>
        <v>0</v>
      </c>
      <c r="L97" s="128">
        <f t="shared" si="15"/>
        <v>20</v>
      </c>
      <c r="S97" s="1">
        <v>20</v>
      </c>
      <c r="AD97" s="1" t="s">
        <v>59</v>
      </c>
      <c r="AE97" s="1">
        <v>5</v>
      </c>
      <c r="AF97" s="118">
        <f>0.8*5</f>
        <v>4</v>
      </c>
      <c r="AG97" s="1">
        <v>4</v>
      </c>
      <c r="AH97" s="1">
        <v>1</v>
      </c>
      <c r="AI97" s="1">
        <v>3</v>
      </c>
      <c r="AJ97" s="1">
        <v>4</v>
      </c>
      <c r="AK97" s="1">
        <v>3</v>
      </c>
      <c r="AV97" s="69" t="s">
        <v>151</v>
      </c>
      <c r="BT97" s="1" t="s">
        <v>187</v>
      </c>
      <c r="BU97" s="1">
        <f>PEARSON(BX12:BX18,BW12:BW18)</f>
        <v>0.52708175149511793</v>
      </c>
    </row>
    <row r="98" spans="1:76" x14ac:dyDescent="0.2">
      <c r="B98" s="26" t="s">
        <v>31</v>
      </c>
      <c r="C98" s="13">
        <v>24</v>
      </c>
      <c r="D98" s="45">
        <f t="shared" ref="D98" si="16">I99-H99</f>
        <v>11.019486188889005</v>
      </c>
      <c r="E98" s="2">
        <v>1</v>
      </c>
      <c r="G98" s="26" t="s">
        <v>30</v>
      </c>
      <c r="H98" s="13">
        <f>M94+4</f>
        <v>287.754412174224</v>
      </c>
      <c r="I98" s="1">
        <v>292.66022872924799</v>
      </c>
      <c r="J98" s="8">
        <f t="shared" si="14"/>
        <v>4.9058165550239892</v>
      </c>
      <c r="L98" s="128">
        <f t="shared" si="15"/>
        <v>4.9058165550239892</v>
      </c>
      <c r="S98" s="1">
        <v>9.6375489234930001</v>
      </c>
      <c r="AV98" s="70" t="s">
        <v>152</v>
      </c>
      <c r="BT98" s="1" t="s">
        <v>190</v>
      </c>
      <c r="BU98" s="1">
        <v>7</v>
      </c>
      <c r="BV98" s="1" t="s">
        <v>191</v>
      </c>
      <c r="BW98" s="1">
        <f>BU98-2</f>
        <v>5</v>
      </c>
    </row>
    <row r="99" spans="1:76" ht="17" thickBot="1" x14ac:dyDescent="0.25">
      <c r="B99" s="26" t="s">
        <v>19</v>
      </c>
      <c r="C99" s="14">
        <v>44</v>
      </c>
      <c r="D99" s="124">
        <f>I100-H100</f>
        <v>6.8787989616399727</v>
      </c>
      <c r="E99" s="16">
        <v>1</v>
      </c>
      <c r="G99" s="26" t="s">
        <v>31</v>
      </c>
      <c r="H99" s="13">
        <f>H98+20</f>
        <v>307.754412174224</v>
      </c>
      <c r="I99" s="1">
        <v>318.77389836311301</v>
      </c>
      <c r="J99" s="8">
        <f t="shared" si="14"/>
        <v>11.019486188889005</v>
      </c>
      <c r="L99" s="128">
        <f t="shared" si="15"/>
        <v>11.019486188889005</v>
      </c>
      <c r="S99" s="1">
        <v>20</v>
      </c>
      <c r="AV99" s="70" t="s">
        <v>153</v>
      </c>
      <c r="BT99" s="1" t="s">
        <v>189</v>
      </c>
      <c r="BU99" s="1">
        <f>ABS(BU97)*SQRT((BU98-2))/(1-BU97^2)</f>
        <v>1.631979213057728</v>
      </c>
    </row>
    <row r="100" spans="1:76" x14ac:dyDescent="0.2">
      <c r="D100" s="45"/>
      <c r="G100" s="26" t="s">
        <v>19</v>
      </c>
      <c r="H100" s="13">
        <f>H99+20</f>
        <v>327.754412174224</v>
      </c>
      <c r="I100" s="4">
        <v>334.63321113586397</v>
      </c>
      <c r="J100" s="8">
        <f t="shared" si="14"/>
        <v>6.8787989616399727</v>
      </c>
      <c r="L100" s="128">
        <f t="shared" si="15"/>
        <v>6.8787989616399727</v>
      </c>
      <c r="M100" s="118" t="s">
        <v>222</v>
      </c>
      <c r="R100" s="1">
        <v>10</v>
      </c>
      <c r="S100" s="1">
        <v>7.1531114579999997</v>
      </c>
      <c r="AV100" s="70" t="s">
        <v>154</v>
      </c>
      <c r="BT100" s="1" t="s">
        <v>192</v>
      </c>
      <c r="BU100" s="1">
        <f>TDIST(BU99,BW98,2)</f>
        <v>0.16361236105040522</v>
      </c>
    </row>
    <row r="101" spans="1:76" ht="17" thickBot="1" x14ac:dyDescent="0.25">
      <c r="F101" s="3" t="s">
        <v>91</v>
      </c>
      <c r="G101" s="26" t="s">
        <v>32</v>
      </c>
      <c r="H101" s="13">
        <f>M95+4</f>
        <v>418.13445186614899</v>
      </c>
      <c r="I101" s="1" t="b">
        <v>0</v>
      </c>
      <c r="J101" s="8" t="b">
        <f t="shared" si="14"/>
        <v>0</v>
      </c>
      <c r="L101" s="128">
        <f t="shared" si="15"/>
        <v>20</v>
      </c>
      <c r="M101" s="118">
        <v>0.6</v>
      </c>
      <c r="S101" s="1">
        <v>3.6350617409999999</v>
      </c>
      <c r="AV101" s="70" t="s">
        <v>155</v>
      </c>
    </row>
    <row r="102" spans="1:76" x14ac:dyDescent="0.2">
      <c r="B102" s="100" t="s">
        <v>32</v>
      </c>
      <c r="C102" s="30">
        <v>4</v>
      </c>
      <c r="D102" s="47">
        <v>20</v>
      </c>
      <c r="E102" s="32">
        <v>0</v>
      </c>
      <c r="G102" s="26" t="s">
        <v>22</v>
      </c>
      <c r="H102" s="13">
        <f>H101+20</f>
        <v>438.13445186614899</v>
      </c>
      <c r="I102" s="17" t="b">
        <f>FALSE</f>
        <v>0</v>
      </c>
      <c r="J102" s="8" t="b">
        <f t="shared" si="14"/>
        <v>0</v>
      </c>
      <c r="L102" s="128">
        <f t="shared" si="15"/>
        <v>20</v>
      </c>
      <c r="S102" s="1">
        <v>14.395035982132015</v>
      </c>
      <c r="AV102" s="69" t="s">
        <v>156</v>
      </c>
    </row>
    <row r="103" spans="1:76" x14ac:dyDescent="0.2">
      <c r="B103" s="100" t="s">
        <v>22</v>
      </c>
      <c r="C103" s="13">
        <v>24</v>
      </c>
      <c r="D103" s="45">
        <v>20</v>
      </c>
      <c r="E103" s="2">
        <v>0</v>
      </c>
      <c r="G103" s="26" t="s">
        <v>33</v>
      </c>
      <c r="H103" s="13">
        <f>H102+20</f>
        <v>458.13445186614899</v>
      </c>
      <c r="I103" s="1">
        <v>472.67509412765497</v>
      </c>
      <c r="J103" s="8">
        <f t="shared" si="14"/>
        <v>14.54064226150598</v>
      </c>
      <c r="L103" s="128">
        <f t="shared" si="15"/>
        <v>14.54064226150598</v>
      </c>
      <c r="S103" s="1">
        <v>20</v>
      </c>
      <c r="AV103" s="70" t="s">
        <v>157</v>
      </c>
      <c r="BT103" s="1" t="s">
        <v>78</v>
      </c>
    </row>
    <row r="104" spans="1:76" ht="17" thickBot="1" x14ac:dyDescent="0.25">
      <c r="B104" s="60" t="s">
        <v>33</v>
      </c>
      <c r="C104" s="14">
        <v>44</v>
      </c>
      <c r="D104" s="46">
        <f>I103-H103</f>
        <v>14.54064226150598</v>
      </c>
      <c r="E104" s="16">
        <v>1</v>
      </c>
      <c r="G104" s="26" t="s">
        <v>34</v>
      </c>
      <c r="H104" s="13">
        <f>M96+4</f>
        <v>563.19296598434403</v>
      </c>
      <c r="I104" s="1">
        <v>577.24762415885903</v>
      </c>
      <c r="J104" s="8">
        <f t="shared" si="14"/>
        <v>14.054658174514998</v>
      </c>
      <c r="L104" s="128">
        <f t="shared" si="15"/>
        <v>14.054658174514998</v>
      </c>
      <c r="S104" s="1">
        <v>19.990506649016993</v>
      </c>
      <c r="AV104" s="69" t="s">
        <v>158</v>
      </c>
      <c r="BT104" s="1" t="s">
        <v>169</v>
      </c>
      <c r="BV104" s="1" t="s">
        <v>170</v>
      </c>
      <c r="BX104" s="1" t="s">
        <v>171</v>
      </c>
    </row>
    <row r="105" spans="1:76" x14ac:dyDescent="0.2">
      <c r="G105" s="26" t="s">
        <v>35</v>
      </c>
      <c r="H105" s="13">
        <f>H104+20</f>
        <v>583.19296598434403</v>
      </c>
      <c r="I105" s="1">
        <v>597.40901112556401</v>
      </c>
      <c r="J105" s="8">
        <f t="shared" si="14"/>
        <v>14.216045141219979</v>
      </c>
      <c r="L105" s="128">
        <f t="shared" si="15"/>
        <v>14.216045141219979</v>
      </c>
      <c r="R105" s="1">
        <v>11</v>
      </c>
      <c r="S105" s="1">
        <v>4.6490738389999997</v>
      </c>
      <c r="AV105" s="69" t="s">
        <v>159</v>
      </c>
      <c r="BT105" s="1">
        <f>PEARSON(BT131:BT144,BY131:BY144)</f>
        <v>-0.28116770343204778</v>
      </c>
      <c r="BV105" s="1">
        <f>PEARSON(BU131:BU144,BY131:BY144)</f>
        <v>0.16038416135316369</v>
      </c>
      <c r="BX105" s="1">
        <f>PEARSON(BV131:BV144,BY131:BY144)</f>
        <v>-9.4533457141233679E-2</v>
      </c>
    </row>
    <row r="106" spans="1:76" ht="17" thickBot="1" x14ac:dyDescent="0.25">
      <c r="F106" s="3" t="s">
        <v>92</v>
      </c>
      <c r="G106" s="33" t="s">
        <v>36</v>
      </c>
      <c r="H106" s="14">
        <f>H105+20</f>
        <v>603.19296598434403</v>
      </c>
      <c r="I106" s="19">
        <v>609.27165508270195</v>
      </c>
      <c r="J106" s="8">
        <f t="shared" si="14"/>
        <v>6.0786890983579269</v>
      </c>
      <c r="L106" s="128">
        <f t="shared" si="15"/>
        <v>6.0786890983579269</v>
      </c>
      <c r="S106" s="1">
        <v>4.7884624000000002</v>
      </c>
      <c r="AV106" s="69" t="s">
        <v>160</v>
      </c>
    </row>
    <row r="107" spans="1:76" ht="17" thickBot="1" x14ac:dyDescent="0.25">
      <c r="H107" s="1" t="s">
        <v>53</v>
      </c>
      <c r="I107" s="1">
        <v>2</v>
      </c>
      <c r="L107" s="128">
        <f>AVERAGE(L94:L106)</f>
        <v>12.361708861131104</v>
      </c>
      <c r="S107" s="1">
        <v>3.5037875175469821</v>
      </c>
      <c r="AV107" s="69" t="s">
        <v>161</v>
      </c>
    </row>
    <row r="108" spans="1:76" x14ac:dyDescent="0.2">
      <c r="B108" s="60" t="s">
        <v>34</v>
      </c>
      <c r="C108" s="30">
        <v>4</v>
      </c>
      <c r="D108" s="47">
        <f>I104-H104</f>
        <v>14.054658174514998</v>
      </c>
      <c r="E108" s="32">
        <v>1</v>
      </c>
      <c r="S108" s="1">
        <v>20</v>
      </c>
      <c r="AV108" s="69" t="s">
        <v>162</v>
      </c>
    </row>
    <row r="109" spans="1:76" x14ac:dyDescent="0.2">
      <c r="B109" s="60" t="s">
        <v>35</v>
      </c>
      <c r="C109" s="13">
        <v>24</v>
      </c>
      <c r="D109" s="45">
        <f t="shared" ref="D109:D110" si="17">I105-H105</f>
        <v>14.216045141219979</v>
      </c>
      <c r="E109" s="2">
        <v>1</v>
      </c>
      <c r="S109" s="1">
        <v>2.0698163509368825</v>
      </c>
      <c r="AV109" s="69" t="s">
        <v>163</v>
      </c>
      <c r="BT109" s="1" t="s">
        <v>172</v>
      </c>
      <c r="BV109" s="1" t="s">
        <v>173</v>
      </c>
    </row>
    <row r="110" spans="1:76" ht="17" thickBot="1" x14ac:dyDescent="0.25">
      <c r="B110" s="42" t="s">
        <v>36</v>
      </c>
      <c r="C110" s="14">
        <v>44</v>
      </c>
      <c r="D110" s="46">
        <f t="shared" si="17"/>
        <v>6.0786890983579269</v>
      </c>
      <c r="E110" s="16">
        <v>1</v>
      </c>
      <c r="R110" s="1">
        <v>12</v>
      </c>
      <c r="S110" s="1">
        <v>1.8124299049999999</v>
      </c>
      <c r="AV110" s="69" t="s">
        <v>164</v>
      </c>
      <c r="BT110" s="1">
        <f>PEARSON(BW131:BW144,BY131:BY144)</f>
        <v>-0.27283882134825477</v>
      </c>
      <c r="BV110" s="1">
        <f>PEARSON(BX131:BX144,BY131:BY144)</f>
        <v>0.53877172621362135</v>
      </c>
    </row>
    <row r="111" spans="1:76" x14ac:dyDescent="0.2">
      <c r="S111" s="1">
        <v>2.0255961419999999</v>
      </c>
      <c r="AV111" s="69" t="s">
        <v>165</v>
      </c>
    </row>
    <row r="112" spans="1:76" x14ac:dyDescent="0.2">
      <c r="A112" s="1" t="s">
        <v>42</v>
      </c>
      <c r="B112" s="1" t="s">
        <v>4</v>
      </c>
      <c r="S112" s="1">
        <v>1.7839119434349868</v>
      </c>
      <c r="AV112" s="69" t="s">
        <v>166</v>
      </c>
    </row>
    <row r="113" spans="1:48" x14ac:dyDescent="0.2">
      <c r="A113" s="1" t="s">
        <v>169</v>
      </c>
      <c r="B113" s="1" t="s">
        <v>170</v>
      </c>
      <c r="C113" s="1" t="s">
        <v>171</v>
      </c>
      <c r="D113" s="1" t="s">
        <v>172</v>
      </c>
      <c r="E113" s="1" t="s">
        <v>173</v>
      </c>
      <c r="S113" s="1">
        <v>20</v>
      </c>
      <c r="AV113" s="69" t="s">
        <v>167</v>
      </c>
    </row>
    <row r="114" spans="1:48" x14ac:dyDescent="0.2">
      <c r="A114" s="1">
        <v>2.3611111111111098</v>
      </c>
      <c r="B114" s="1">
        <v>3.0263157894736801</v>
      </c>
      <c r="C114" s="1">
        <v>2.5</v>
      </c>
      <c r="D114" s="1">
        <v>3.3333333333333299</v>
      </c>
      <c r="E114" s="1">
        <v>2.0833333333333299</v>
      </c>
      <c r="S114" s="1">
        <v>1.6196081638336146</v>
      </c>
      <c r="AV114" s="69" t="s">
        <v>168</v>
      </c>
    </row>
    <row r="115" spans="1:48" x14ac:dyDescent="0.2">
      <c r="R115" s="1">
        <v>13</v>
      </c>
      <c r="S115" s="1">
        <v>6.722864628</v>
      </c>
    </row>
    <row r="116" spans="1:48" x14ac:dyDescent="0.2">
      <c r="F116" s="3" t="s">
        <v>94</v>
      </c>
      <c r="S116" s="1">
        <v>20</v>
      </c>
    </row>
    <row r="117" spans="1:48" ht="17" thickBot="1" x14ac:dyDescent="0.25">
      <c r="S117" s="1">
        <v>2.4327280521399643</v>
      </c>
    </row>
    <row r="118" spans="1:48" ht="17" thickBot="1" x14ac:dyDescent="0.25">
      <c r="B118" s="34" t="s">
        <v>11</v>
      </c>
      <c r="C118" s="1">
        <f>H120-$M$120</f>
        <v>0.96851658821105957</v>
      </c>
      <c r="D118" s="1">
        <f>I120-H120</f>
        <v>8.209922075271642</v>
      </c>
      <c r="F118" s="1" t="s">
        <v>44</v>
      </c>
      <c r="G118" s="1" t="s">
        <v>229</v>
      </c>
      <c r="S118" s="1">
        <v>20</v>
      </c>
    </row>
    <row r="119" spans="1:48" ht="17" thickBot="1" x14ac:dyDescent="0.25">
      <c r="B119" s="35" t="s">
        <v>12</v>
      </c>
      <c r="C119" s="1">
        <f>H121-$M$120</f>
        <v>20.96851658821106</v>
      </c>
      <c r="F119" s="3" t="s">
        <v>43</v>
      </c>
      <c r="G119" s="1">
        <v>6</v>
      </c>
      <c r="H119" s="20" t="s">
        <v>45</v>
      </c>
      <c r="I119" s="21" t="s">
        <v>46</v>
      </c>
      <c r="J119" s="22" t="s">
        <v>47</v>
      </c>
      <c r="M119" s="23" t="s">
        <v>0</v>
      </c>
      <c r="O119" s="1" t="s">
        <v>5</v>
      </c>
      <c r="S119" s="1">
        <v>2.3074648380279079</v>
      </c>
    </row>
    <row r="120" spans="1:48" ht="17" thickBot="1" x14ac:dyDescent="0.25">
      <c r="B120" s="51" t="s">
        <v>13</v>
      </c>
      <c r="C120" s="52">
        <f>H122-$M$120</f>
        <v>40.968516588211067</v>
      </c>
      <c r="D120" s="53">
        <f>I122-H122</f>
        <v>3.1743116378784322</v>
      </c>
      <c r="E120" s="54">
        <v>1</v>
      </c>
      <c r="F120" s="3">
        <v>57.115711688995297</v>
      </c>
      <c r="G120" s="34" t="s">
        <v>11</v>
      </c>
      <c r="H120" s="38">
        <f>M120+4-O120</f>
        <v>43.87657213211056</v>
      </c>
      <c r="I120" s="39">
        <v>52.086494207382202</v>
      </c>
      <c r="J120" s="8">
        <f>IF(I120,I120-H120,FALSE)</f>
        <v>8.209922075271642</v>
      </c>
      <c r="M120" s="25">
        <v>42.908055543899501</v>
      </c>
      <c r="O120" s="1">
        <v>3.03148341178894</v>
      </c>
      <c r="R120" s="1">
        <v>14</v>
      </c>
      <c r="S120" s="1">
        <v>8.1402437689999996</v>
      </c>
    </row>
    <row r="121" spans="1:48" ht="17" thickBot="1" x14ac:dyDescent="0.25">
      <c r="G121" s="35" t="s">
        <v>12</v>
      </c>
      <c r="H121" s="9">
        <f>H120+20</f>
        <v>63.87657213211056</v>
      </c>
      <c r="I121" s="8" t="b">
        <f>FALSE</f>
        <v>0</v>
      </c>
      <c r="J121" s="8" t="b">
        <f t="shared" ref="J121:J134" si="18">IF(I121,I121-H121,FALSE)</f>
        <v>0</v>
      </c>
      <c r="M121" s="25">
        <v>173.66854763031</v>
      </c>
      <c r="S121" s="1">
        <v>16.158235788345991</v>
      </c>
    </row>
    <row r="122" spans="1:48" ht="17" thickBot="1" x14ac:dyDescent="0.25">
      <c r="B122" s="51" t="s">
        <v>16</v>
      </c>
      <c r="C122" s="52">
        <f>H125-$M$121</f>
        <v>44</v>
      </c>
      <c r="D122" s="53">
        <f>I123-H123</f>
        <v>7.934115409850989</v>
      </c>
      <c r="E122" s="54">
        <v>1</v>
      </c>
      <c r="G122" s="26" t="s">
        <v>13</v>
      </c>
      <c r="H122" s="9">
        <f>H121+20</f>
        <v>83.876572132110567</v>
      </c>
      <c r="I122" s="5">
        <v>87.050883769988999</v>
      </c>
      <c r="J122" s="8">
        <f t="shared" si="18"/>
        <v>3.1743116378784322</v>
      </c>
      <c r="L122" s="128">
        <f t="shared" ref="L121:L134" si="19">IF(J122=FALSE,20,J122)</f>
        <v>3.1743116378784322</v>
      </c>
      <c r="M122" s="25">
        <v>306.17511320114102</v>
      </c>
      <c r="S122" s="1">
        <v>20</v>
      </c>
    </row>
    <row r="123" spans="1:48" ht="17" thickBot="1" x14ac:dyDescent="0.25">
      <c r="F123" s="3" t="s">
        <v>10</v>
      </c>
      <c r="G123" s="35" t="s">
        <v>14</v>
      </c>
      <c r="H123" s="9">
        <f>M121+4</f>
        <v>177.66854763031</v>
      </c>
      <c r="I123" s="6">
        <v>185.60266304016099</v>
      </c>
      <c r="J123" s="8">
        <f t="shared" si="18"/>
        <v>7.934115409850989</v>
      </c>
      <c r="M123" s="25">
        <v>417.73468542098999</v>
      </c>
      <c r="S123" s="1">
        <v>14.246892929078001</v>
      </c>
      <c r="AE123" s="23" t="s">
        <v>82</v>
      </c>
      <c r="AF123" s="31">
        <v>0</v>
      </c>
      <c r="AG123" s="31">
        <v>1</v>
      </c>
      <c r="AH123" s="31">
        <v>2</v>
      </c>
      <c r="AI123" s="31">
        <v>3</v>
      </c>
      <c r="AJ123" s="31">
        <v>0</v>
      </c>
      <c r="AK123" s="31">
        <v>2</v>
      </c>
      <c r="AL123" s="32">
        <v>5</v>
      </c>
    </row>
    <row r="124" spans="1:48" ht="17" thickBot="1" x14ac:dyDescent="0.25">
      <c r="B124" s="51" t="s">
        <v>19</v>
      </c>
      <c r="C124" s="52">
        <f>H128-$M$122</f>
        <v>44</v>
      </c>
      <c r="D124" s="53">
        <f>I128-H128</f>
        <v>17.809106588363989</v>
      </c>
      <c r="E124" s="54">
        <v>1</v>
      </c>
      <c r="F124" s="3" t="s">
        <v>93</v>
      </c>
      <c r="G124" s="35" t="s">
        <v>15</v>
      </c>
      <c r="H124" s="9">
        <f>H123+20</f>
        <v>197.66854763031</v>
      </c>
      <c r="I124" s="6">
        <v>205.52820324897701</v>
      </c>
      <c r="J124" s="8">
        <f t="shared" si="18"/>
        <v>7.8596556186670057</v>
      </c>
      <c r="M124" s="29">
        <v>538.36709046363796</v>
      </c>
      <c r="S124" s="1">
        <v>20</v>
      </c>
      <c r="AE124" s="29" t="s">
        <v>59</v>
      </c>
      <c r="AF124" s="19">
        <v>2</v>
      </c>
      <c r="AG124" s="19">
        <v>4</v>
      </c>
      <c r="AH124" s="19">
        <v>5</v>
      </c>
      <c r="AI124" s="19">
        <v>6</v>
      </c>
      <c r="AJ124" s="19">
        <v>0</v>
      </c>
      <c r="AK124" s="19">
        <v>2</v>
      </c>
      <c r="AL124" s="16">
        <v>2</v>
      </c>
    </row>
    <row r="125" spans="1:48" ht="17" thickBot="1" x14ac:dyDescent="0.25">
      <c r="G125" s="26" t="s">
        <v>16</v>
      </c>
      <c r="H125" s="9">
        <f>H124+20</f>
        <v>217.66854763031</v>
      </c>
      <c r="I125" s="5">
        <v>220.81335544586099</v>
      </c>
      <c r="J125" s="8">
        <f t="shared" si="18"/>
        <v>3.1448078155509904</v>
      </c>
      <c r="L125" s="128">
        <f t="shared" si="19"/>
        <v>3.1448078155509904</v>
      </c>
    </row>
    <row r="126" spans="1:48" ht="17" thickBot="1" x14ac:dyDescent="0.25">
      <c r="B126" s="51" t="s">
        <v>22</v>
      </c>
      <c r="C126" s="52">
        <f>H131-$M$123</f>
        <v>44</v>
      </c>
      <c r="D126" s="53">
        <f>I131-H131</f>
        <v>14.275756597518011</v>
      </c>
      <c r="E126" s="54">
        <v>1</v>
      </c>
      <c r="G126" s="35" t="s">
        <v>17</v>
      </c>
      <c r="H126" s="9">
        <f>M122+4</f>
        <v>310.17511320114102</v>
      </c>
      <c r="I126" s="7" t="b">
        <f>FALSE</f>
        <v>0</v>
      </c>
      <c r="J126" s="8" t="b">
        <f t="shared" si="18"/>
        <v>0</v>
      </c>
    </row>
    <row r="127" spans="1:48" x14ac:dyDescent="0.2">
      <c r="G127" s="35" t="s">
        <v>18</v>
      </c>
      <c r="H127" s="9">
        <f>H126+20</f>
        <v>330.17511320114102</v>
      </c>
      <c r="I127" s="7" t="b">
        <f>FALSE</f>
        <v>0</v>
      </c>
      <c r="J127" s="8" t="b">
        <f t="shared" si="18"/>
        <v>0</v>
      </c>
    </row>
    <row r="128" spans="1:48" x14ac:dyDescent="0.2">
      <c r="G128" s="26" t="s">
        <v>19</v>
      </c>
      <c r="H128" s="9">
        <f>H127+20</f>
        <v>350.17511320114102</v>
      </c>
      <c r="I128" s="5">
        <v>367.984219789505</v>
      </c>
      <c r="J128" s="8">
        <f t="shared" si="18"/>
        <v>17.809106588363989</v>
      </c>
      <c r="L128" s="128">
        <f t="shared" si="19"/>
        <v>17.809106588363989</v>
      </c>
      <c r="M128" s="118" t="s">
        <v>222</v>
      </c>
      <c r="Z128" s="1">
        <v>24.28</v>
      </c>
    </row>
    <row r="129" spans="1:77" x14ac:dyDescent="0.2">
      <c r="D129" s="45"/>
      <c r="G129" s="35" t="s">
        <v>20</v>
      </c>
      <c r="H129" s="9">
        <f>M123+4</f>
        <v>421.73468542098999</v>
      </c>
      <c r="I129" s="7" t="b">
        <f>FALSE</f>
        <v>0</v>
      </c>
      <c r="J129" s="8" t="b">
        <f t="shared" si="18"/>
        <v>0</v>
      </c>
      <c r="M129" s="118">
        <v>0.8</v>
      </c>
      <c r="Z129" s="1">
        <v>28.66</v>
      </c>
    </row>
    <row r="130" spans="1:77" x14ac:dyDescent="0.2">
      <c r="G130" s="35" t="s">
        <v>21</v>
      </c>
      <c r="H130" s="9">
        <f>H129+20</f>
        <v>441.73468542098999</v>
      </c>
      <c r="I130" s="7" t="b">
        <f>FALSE</f>
        <v>0</v>
      </c>
      <c r="J130" s="8" t="b">
        <f t="shared" si="18"/>
        <v>0</v>
      </c>
      <c r="Z130" s="1">
        <v>28.56</v>
      </c>
      <c r="BT130" s="1" t="s">
        <v>209</v>
      </c>
      <c r="BU130" s="1" t="s">
        <v>210</v>
      </c>
      <c r="BV130" s="1" t="s">
        <v>211</v>
      </c>
      <c r="BW130" s="1" t="s">
        <v>212</v>
      </c>
      <c r="BX130" s="1" t="s">
        <v>213</v>
      </c>
      <c r="BY130" s="1" t="s">
        <v>214</v>
      </c>
    </row>
    <row r="131" spans="1:77" x14ac:dyDescent="0.2">
      <c r="G131" s="26" t="s">
        <v>22</v>
      </c>
      <c r="H131" s="9">
        <f>H130+20</f>
        <v>461.73468542098999</v>
      </c>
      <c r="I131" s="5">
        <v>476.010442018508</v>
      </c>
      <c r="J131" s="8">
        <f t="shared" si="18"/>
        <v>14.275756597518011</v>
      </c>
      <c r="L131" s="128">
        <f t="shared" si="19"/>
        <v>14.275756597518011</v>
      </c>
      <c r="BT131" s="1">
        <v>3.88888888888888</v>
      </c>
      <c r="BU131" s="1">
        <v>3.75</v>
      </c>
      <c r="BV131" s="1">
        <v>2.6666666666666599</v>
      </c>
      <c r="BW131" s="1">
        <v>3.5416666666666599</v>
      </c>
      <c r="BX131" s="1">
        <v>1.94444444444444</v>
      </c>
      <c r="BY131" s="1">
        <v>11.084673643045587</v>
      </c>
    </row>
    <row r="132" spans="1:77" x14ac:dyDescent="0.2">
      <c r="G132" s="35" t="s">
        <v>23</v>
      </c>
      <c r="H132" s="9">
        <f>M124+4</f>
        <v>542.36709046363796</v>
      </c>
      <c r="I132" s="7" t="b">
        <f>FALSE</f>
        <v>0</v>
      </c>
      <c r="J132" s="8" t="b">
        <f t="shared" si="18"/>
        <v>0</v>
      </c>
      <c r="BT132" s="1">
        <v>3.3333333333333299</v>
      </c>
      <c r="BU132" s="1">
        <v>2.7631578947368398</v>
      </c>
      <c r="BV132" s="1">
        <v>3.6666666666666599</v>
      </c>
      <c r="BW132" s="1">
        <v>3.75</v>
      </c>
      <c r="BX132" s="1">
        <v>1.94444444444444</v>
      </c>
      <c r="BY132" s="1">
        <v>7.2844598294100233</v>
      </c>
    </row>
    <row r="133" spans="1:77" x14ac:dyDescent="0.2">
      <c r="F133" s="3" t="s">
        <v>93</v>
      </c>
      <c r="G133" s="35" t="s">
        <v>24</v>
      </c>
      <c r="H133" s="9">
        <f>H132+20</f>
        <v>562.36709046363796</v>
      </c>
      <c r="I133" s="6">
        <v>580.224755764007</v>
      </c>
      <c r="J133" s="8">
        <f t="shared" si="18"/>
        <v>17.857665300369035</v>
      </c>
      <c r="BT133" s="1">
        <v>4.1666666666666599</v>
      </c>
      <c r="BU133" s="1">
        <v>3.9473684210526301</v>
      </c>
      <c r="BV133" s="1">
        <v>2.5</v>
      </c>
      <c r="BW133" s="1">
        <v>3.9583333333333299</v>
      </c>
      <c r="BX133" s="1">
        <v>2.7083333333333299</v>
      </c>
      <c r="BY133" s="1">
        <v>14.223496532527994</v>
      </c>
    </row>
    <row r="134" spans="1:77" ht="17" thickBot="1" x14ac:dyDescent="0.25">
      <c r="G134" s="33" t="s">
        <v>25</v>
      </c>
      <c r="H134" s="10">
        <f>H133+20</f>
        <v>582.36709046363796</v>
      </c>
      <c r="I134" s="37" t="b">
        <f>FALSE</f>
        <v>0</v>
      </c>
      <c r="J134" s="8">
        <v>20</v>
      </c>
      <c r="L134" s="132">
        <f t="shared" si="19"/>
        <v>20</v>
      </c>
      <c r="BT134" s="1">
        <v>5</v>
      </c>
      <c r="BU134" s="1">
        <v>2.6973684210526301</v>
      </c>
      <c r="BV134" s="1">
        <v>2.8333333333333299</v>
      </c>
      <c r="BW134" s="1">
        <v>4.1666666666666599</v>
      </c>
      <c r="BX134" s="1">
        <v>2.1527777777777701</v>
      </c>
      <c r="BY134" s="1">
        <v>7.5696495059051916</v>
      </c>
    </row>
    <row r="135" spans="1:77" x14ac:dyDescent="0.2">
      <c r="H135" s="1" t="s">
        <v>53</v>
      </c>
      <c r="I135" s="1">
        <v>4</v>
      </c>
      <c r="L135" s="128">
        <f>AVERAGE(L122:L134)</f>
        <v>11.680796527862285</v>
      </c>
      <c r="BT135" s="1">
        <v>3.88888888888888</v>
      </c>
      <c r="BU135" s="1">
        <v>3.1578947368421</v>
      </c>
      <c r="BV135" s="1">
        <v>3.3333333333333299</v>
      </c>
      <c r="BW135" s="1">
        <v>3.6111111111111098</v>
      </c>
      <c r="BX135" s="1">
        <v>1.94444444444444</v>
      </c>
      <c r="BY135" s="1">
        <v>7.002228021496772</v>
      </c>
    </row>
    <row r="136" spans="1:77" x14ac:dyDescent="0.2">
      <c r="BT136" s="1">
        <v>3.05555555555555</v>
      </c>
      <c r="BU136" s="1">
        <v>2.5657894736842102</v>
      </c>
      <c r="BV136" s="1">
        <v>1.4166666666666601</v>
      </c>
      <c r="BW136" s="1">
        <v>2.5</v>
      </c>
      <c r="BX136" s="1">
        <v>2.2222222222222201</v>
      </c>
      <c r="BY136" s="1">
        <v>5.4483092308537202</v>
      </c>
    </row>
    <row r="137" spans="1:77" x14ac:dyDescent="0.2">
      <c r="BT137" s="1">
        <v>3.88888888888888</v>
      </c>
      <c r="BU137" s="1">
        <v>3.48684210526315</v>
      </c>
      <c r="BV137" s="1">
        <v>1.75</v>
      </c>
      <c r="BW137" s="1">
        <v>3.3333333333333299</v>
      </c>
      <c r="BX137" s="1">
        <v>3.05555555555555</v>
      </c>
      <c r="BY137" s="1">
        <v>10.292611503633575</v>
      </c>
    </row>
    <row r="138" spans="1:77" x14ac:dyDescent="0.2">
      <c r="A138" s="1" t="s">
        <v>48</v>
      </c>
      <c r="B138" s="1" t="s">
        <v>4</v>
      </c>
      <c r="BT138" s="1">
        <v>4.4444444444444402</v>
      </c>
      <c r="BU138" s="1">
        <v>2.6973684210526301</v>
      </c>
      <c r="BV138" s="1">
        <v>1.9166666666666601</v>
      </c>
      <c r="BW138" s="1">
        <v>2.9861111111111098</v>
      </c>
      <c r="BX138" s="1">
        <v>2.2916666666666599</v>
      </c>
      <c r="BY138" s="1">
        <v>11.10272610194351</v>
      </c>
    </row>
    <row r="139" spans="1:77" x14ac:dyDescent="0.2">
      <c r="A139" s="1" t="s">
        <v>169</v>
      </c>
      <c r="B139" s="1" t="s">
        <v>170</v>
      </c>
      <c r="C139" s="1" t="s">
        <v>171</v>
      </c>
      <c r="D139" s="1" t="s">
        <v>172</v>
      </c>
      <c r="E139" s="1" t="s">
        <v>173</v>
      </c>
      <c r="BT139" s="1">
        <v>3.6111111111111098</v>
      </c>
      <c r="BU139" s="1">
        <v>3.1578947368421</v>
      </c>
      <c r="BV139" s="45">
        <v>3.8333333333333299</v>
      </c>
      <c r="BW139" s="1">
        <v>3.8194444444444402</v>
      </c>
      <c r="BX139" s="1">
        <v>1.4583333333333299</v>
      </c>
      <c r="BY139" s="1">
        <v>10.488132476862031</v>
      </c>
    </row>
    <row r="140" spans="1:77" ht="17" thickBot="1" x14ac:dyDescent="0.25">
      <c r="A140" s="1">
        <v>3.1944444444444402</v>
      </c>
      <c r="B140" s="1">
        <v>3.2894736842105199</v>
      </c>
      <c r="C140" s="1">
        <v>2.25</v>
      </c>
      <c r="D140" s="1">
        <v>2.63888888888888</v>
      </c>
      <c r="E140" s="1">
        <v>2.8472222222222201</v>
      </c>
      <c r="F140" s="3" t="s">
        <v>97</v>
      </c>
      <c r="G140" s="118" t="s">
        <v>229</v>
      </c>
      <c r="BT140" s="1">
        <v>2.3611111111111098</v>
      </c>
      <c r="BU140" s="1">
        <v>3.0263157894736801</v>
      </c>
      <c r="BV140" s="1">
        <v>2.5</v>
      </c>
      <c r="BW140" s="1">
        <v>3.3333333333333299</v>
      </c>
      <c r="BX140" s="1">
        <v>2.0833333333333299</v>
      </c>
      <c r="BY140" s="1">
        <v>11.680796527976401</v>
      </c>
    </row>
    <row r="141" spans="1:77" ht="17" thickBot="1" x14ac:dyDescent="0.25">
      <c r="G141" s="1">
        <v>7</v>
      </c>
      <c r="H141" s="20" t="s">
        <v>45</v>
      </c>
      <c r="I141" s="21" t="s">
        <v>46</v>
      </c>
      <c r="J141" s="22" t="s">
        <v>47</v>
      </c>
      <c r="M141" s="23" t="s">
        <v>0</v>
      </c>
      <c r="O141" s="1" t="s">
        <v>5</v>
      </c>
      <c r="BT141" s="1">
        <v>3.1944444444444402</v>
      </c>
      <c r="BU141" s="1">
        <v>3.2894736842105199</v>
      </c>
      <c r="BV141" s="1">
        <v>2.25</v>
      </c>
      <c r="BW141" s="1">
        <v>2.63888888888888</v>
      </c>
      <c r="BX141" s="1">
        <v>2.8472222222222201</v>
      </c>
      <c r="BY141" s="1">
        <v>16.770396852400001</v>
      </c>
    </row>
    <row r="142" spans="1:77" ht="17" thickBot="1" x14ac:dyDescent="0.25">
      <c r="G142" s="34" t="s">
        <v>11</v>
      </c>
      <c r="H142" s="38">
        <f>M142+4-O142</f>
        <v>29.967648267745943</v>
      </c>
      <c r="I142" s="39">
        <v>37.833777666091898</v>
      </c>
      <c r="J142" s="8">
        <f>IF(I142,I142-H142,FALSE)</f>
        <v>7.8661293983459544</v>
      </c>
      <c r="M142" s="25">
        <v>28.995989561080901</v>
      </c>
      <c r="O142" s="1">
        <v>3.02834129333496</v>
      </c>
      <c r="BT142" s="1">
        <v>4.5833333333333304</v>
      </c>
      <c r="BU142" s="1">
        <v>3.6184210526315699</v>
      </c>
      <c r="BV142" s="1">
        <v>4.5</v>
      </c>
      <c r="BW142" s="1">
        <v>4.2361111111111098</v>
      </c>
      <c r="BX142" s="1">
        <v>2.63888888888888</v>
      </c>
      <c r="BY142" s="1">
        <v>12.8854970932986</v>
      </c>
    </row>
    <row r="143" spans="1:77" x14ac:dyDescent="0.2">
      <c r="B143" s="34" t="s">
        <v>11</v>
      </c>
      <c r="F143" s="3" t="s">
        <v>95</v>
      </c>
      <c r="G143" s="35" t="s">
        <v>12</v>
      </c>
      <c r="H143" s="9">
        <f>H142+20</f>
        <v>49.967648267745943</v>
      </c>
      <c r="I143" s="7" t="b">
        <f>FALSE</f>
        <v>0</v>
      </c>
      <c r="J143" s="8" t="b">
        <f t="shared" ref="J143:J156" si="20">IF(I143,I143-H143,FALSE)</f>
        <v>0</v>
      </c>
      <c r="M143" s="25">
        <v>167.21888422966001</v>
      </c>
      <c r="BT143" s="1">
        <v>2.2222222222222201</v>
      </c>
      <c r="BU143" s="1">
        <v>3.75</v>
      </c>
      <c r="BV143" s="1">
        <v>2.25</v>
      </c>
      <c r="BW143" s="1">
        <v>2.2222222222222201</v>
      </c>
      <c r="BX143" s="1">
        <v>1.94444444444444</v>
      </c>
      <c r="BY143" s="1">
        <v>13.034743166029802</v>
      </c>
    </row>
    <row r="144" spans="1:77" x14ac:dyDescent="0.2">
      <c r="B144" s="35" t="s">
        <v>12</v>
      </c>
      <c r="C144" s="1">
        <f>H143-M142</f>
        <v>20.971658706665043</v>
      </c>
      <c r="F144" s="3" t="s">
        <v>96</v>
      </c>
      <c r="G144" s="26" t="s">
        <v>13</v>
      </c>
      <c r="H144" s="9">
        <f>H143+20</f>
        <v>69.967648267745943</v>
      </c>
      <c r="I144" s="17" t="b">
        <f>FALSE</f>
        <v>0</v>
      </c>
      <c r="J144" s="8" t="b">
        <f t="shared" si="20"/>
        <v>0</v>
      </c>
      <c r="L144" s="132">
        <v>20</v>
      </c>
      <c r="M144" s="25">
        <v>293.92427802085803</v>
      </c>
      <c r="BT144" s="1">
        <v>2.2222222222222201</v>
      </c>
      <c r="BU144" s="1">
        <v>1.6447368421052599</v>
      </c>
      <c r="BV144" s="1">
        <v>2</v>
      </c>
      <c r="BW144" s="1">
        <v>2.43055555555555</v>
      </c>
      <c r="BX144" s="1">
        <v>3.05555555555555</v>
      </c>
      <c r="BY144" s="1">
        <v>15.709074497284798</v>
      </c>
    </row>
    <row r="145" spans="1:13" x14ac:dyDescent="0.2">
      <c r="B145" s="26" t="s">
        <v>13</v>
      </c>
      <c r="F145" s="3" t="s">
        <v>93</v>
      </c>
      <c r="G145" s="35" t="s">
        <v>14</v>
      </c>
      <c r="H145" s="9">
        <f>M143+4</f>
        <v>171.21888422966001</v>
      </c>
      <c r="I145" s="7" t="b">
        <f>FALSE</f>
        <v>0</v>
      </c>
      <c r="J145" s="8" t="b">
        <f t="shared" si="20"/>
        <v>0</v>
      </c>
      <c r="M145" s="25">
        <v>423.97604322433398</v>
      </c>
    </row>
    <row r="146" spans="1:13" ht="17" thickBot="1" x14ac:dyDescent="0.25">
      <c r="G146" s="35" t="s">
        <v>15</v>
      </c>
      <c r="H146" s="9">
        <f>H145+20</f>
        <v>191.21888422966001</v>
      </c>
      <c r="I146" s="7" t="b">
        <f>FALSE</f>
        <v>0</v>
      </c>
      <c r="J146" s="8" t="b">
        <f t="shared" si="20"/>
        <v>0</v>
      </c>
      <c r="M146" s="29">
        <v>538.37186956405606</v>
      </c>
    </row>
    <row r="147" spans="1:13" x14ac:dyDescent="0.2">
      <c r="F147" s="3" t="s">
        <v>98</v>
      </c>
      <c r="G147" s="26" t="s">
        <v>16</v>
      </c>
      <c r="H147" s="9">
        <f>H146+20</f>
        <v>211.21888422966001</v>
      </c>
      <c r="I147" s="5">
        <v>215.07086849212601</v>
      </c>
      <c r="J147" s="8">
        <f t="shared" si="20"/>
        <v>3.8519842624660043</v>
      </c>
      <c r="L147" s="128">
        <f t="shared" ref="L143:L156" si="21">IF(J147=FALSE,20,J147)</f>
        <v>3.8519842624660043</v>
      </c>
    </row>
    <row r="148" spans="1:13" x14ac:dyDescent="0.2">
      <c r="G148" s="35" t="s">
        <v>17</v>
      </c>
      <c r="H148" s="9">
        <f>M144+4</f>
        <v>297.92427802085803</v>
      </c>
      <c r="I148" s="7" t="b">
        <f>FALSE</f>
        <v>0</v>
      </c>
      <c r="J148" s="8" t="b">
        <f t="shared" si="20"/>
        <v>0</v>
      </c>
    </row>
    <row r="149" spans="1:13" x14ac:dyDescent="0.2">
      <c r="G149" s="35" t="s">
        <v>18</v>
      </c>
      <c r="H149" s="9">
        <f>H148+20</f>
        <v>317.92427802085803</v>
      </c>
      <c r="I149" s="7" t="b">
        <f>FALSE</f>
        <v>0</v>
      </c>
      <c r="J149" s="8" t="b">
        <f t="shared" si="20"/>
        <v>0</v>
      </c>
    </row>
    <row r="150" spans="1:13" x14ac:dyDescent="0.2">
      <c r="F150" s="3" t="s">
        <v>99</v>
      </c>
      <c r="G150" s="26" t="s">
        <v>19</v>
      </c>
      <c r="H150" s="9">
        <f>H149+20</f>
        <v>337.92427802085803</v>
      </c>
      <c r="I150" s="17" t="b">
        <v>0</v>
      </c>
      <c r="J150" s="8" t="b">
        <f t="shared" si="20"/>
        <v>0</v>
      </c>
      <c r="L150" s="132">
        <v>20</v>
      </c>
    </row>
    <row r="151" spans="1:13" x14ac:dyDescent="0.2">
      <c r="G151" s="35" t="s">
        <v>20</v>
      </c>
      <c r="H151" s="9">
        <f>M145+4</f>
        <v>427.97604322433398</v>
      </c>
      <c r="I151" s="7" t="b">
        <f>FALSE</f>
        <v>0</v>
      </c>
      <c r="J151" s="8" t="b">
        <f t="shared" si="20"/>
        <v>0</v>
      </c>
      <c r="M151" s="118" t="s">
        <v>222</v>
      </c>
    </row>
    <row r="152" spans="1:13" x14ac:dyDescent="0.2">
      <c r="G152" s="35" t="s">
        <v>21</v>
      </c>
      <c r="H152" s="9">
        <f>H151+20</f>
        <v>447.97604322433398</v>
      </c>
      <c r="I152" s="7" t="b">
        <f>FALSE</f>
        <v>0</v>
      </c>
      <c r="J152" s="8" t="b">
        <f t="shared" si="20"/>
        <v>0</v>
      </c>
      <c r="M152" s="118">
        <v>0.2</v>
      </c>
    </row>
    <row r="153" spans="1:13" ht="17" thickBot="1" x14ac:dyDescent="0.25">
      <c r="G153" s="26" t="s">
        <v>22</v>
      </c>
      <c r="H153" s="9">
        <f>H152+20</f>
        <v>467.97604322433398</v>
      </c>
      <c r="I153" s="17" t="b">
        <v>0</v>
      </c>
      <c r="J153" s="8" t="b">
        <f t="shared" si="20"/>
        <v>0</v>
      </c>
      <c r="L153" s="132">
        <v>20</v>
      </c>
    </row>
    <row r="154" spans="1:13" ht="17" thickBot="1" x14ac:dyDescent="0.25">
      <c r="B154" s="51" t="s">
        <v>13</v>
      </c>
      <c r="C154" s="52">
        <f>H144-$M$142</f>
        <v>40.971658706665039</v>
      </c>
      <c r="D154" s="55" t="b">
        <v>0</v>
      </c>
      <c r="E154" s="54">
        <v>1</v>
      </c>
      <c r="G154" s="35" t="s">
        <v>23</v>
      </c>
      <c r="H154" s="9">
        <f>M146+4</f>
        <v>542.37186956405606</v>
      </c>
      <c r="I154" s="7" t="b">
        <f>FALSE</f>
        <v>0</v>
      </c>
      <c r="J154" s="8" t="b">
        <f t="shared" si="20"/>
        <v>0</v>
      </c>
    </row>
    <row r="155" spans="1:13" ht="17" thickBot="1" x14ac:dyDescent="0.25">
      <c r="G155" s="35" t="s">
        <v>24</v>
      </c>
      <c r="H155" s="9">
        <f>H154+20</f>
        <v>562.37186956405606</v>
      </c>
      <c r="I155" s="7" t="b">
        <v>0</v>
      </c>
      <c r="J155" s="8" t="b">
        <f t="shared" si="20"/>
        <v>0</v>
      </c>
    </row>
    <row r="156" spans="1:13" ht="17" thickBot="1" x14ac:dyDescent="0.25">
      <c r="B156" s="51" t="s">
        <v>16</v>
      </c>
      <c r="C156" s="52">
        <f>H147-$M$143</f>
        <v>44</v>
      </c>
      <c r="D156" s="53">
        <f>I147-H147</f>
        <v>3.8519842624660043</v>
      </c>
      <c r="E156" s="54">
        <v>1</v>
      </c>
      <c r="G156" s="33" t="s">
        <v>25</v>
      </c>
      <c r="H156" s="10">
        <f>H155+20</f>
        <v>582.37186956405606</v>
      </c>
      <c r="I156" s="37" t="b">
        <f>FALSE</f>
        <v>0</v>
      </c>
      <c r="J156" s="8" t="b">
        <f t="shared" si="20"/>
        <v>0</v>
      </c>
      <c r="L156" s="132">
        <v>20</v>
      </c>
    </row>
    <row r="157" spans="1:13" ht="17" thickBot="1" x14ac:dyDescent="0.25">
      <c r="H157" s="1" t="s">
        <v>53</v>
      </c>
      <c r="I157" s="1">
        <v>1</v>
      </c>
      <c r="L157" s="128">
        <f>AVERAGE(L144:L156)</f>
        <v>16.770396852493199</v>
      </c>
    </row>
    <row r="158" spans="1:13" ht="17" thickBot="1" x14ac:dyDescent="0.25">
      <c r="B158" s="51" t="s">
        <v>19</v>
      </c>
      <c r="C158" s="52">
        <f>H153-$M$145</f>
        <v>44</v>
      </c>
      <c r="D158" s="55" t="b">
        <v>0</v>
      </c>
      <c r="E158" s="54">
        <v>1</v>
      </c>
    </row>
    <row r="160" spans="1:13" x14ac:dyDescent="0.2">
      <c r="A160" s="1" t="s">
        <v>49</v>
      </c>
      <c r="B160" s="1" t="s">
        <v>41</v>
      </c>
      <c r="C160" s="1" t="s">
        <v>2</v>
      </c>
    </row>
    <row r="161" spans="1:15" x14ac:dyDescent="0.2">
      <c r="C161" s="1" t="s">
        <v>3</v>
      </c>
    </row>
    <row r="162" spans="1:15" x14ac:dyDescent="0.2">
      <c r="A162" s="1" t="s">
        <v>169</v>
      </c>
      <c r="B162" s="1" t="s">
        <v>170</v>
      </c>
      <c r="C162" s="1" t="s">
        <v>171</v>
      </c>
      <c r="D162" s="1" t="s">
        <v>172</v>
      </c>
      <c r="E162" s="1" t="s">
        <v>173</v>
      </c>
    </row>
    <row r="163" spans="1:15" ht="17" thickBot="1" x14ac:dyDescent="0.25">
      <c r="A163" s="1">
        <v>5</v>
      </c>
      <c r="B163" s="1">
        <v>2.6973684210526301</v>
      </c>
      <c r="C163" s="1">
        <v>2.8333333333333299</v>
      </c>
      <c r="D163" s="1">
        <v>4.1666666666666599</v>
      </c>
      <c r="E163" s="1">
        <v>2.1527777777777701</v>
      </c>
      <c r="G163" s="1" t="s">
        <v>228</v>
      </c>
    </row>
    <row r="164" spans="1:15" ht="17" thickBot="1" x14ac:dyDescent="0.25">
      <c r="G164" s="1">
        <v>8</v>
      </c>
      <c r="H164" s="20" t="s">
        <v>45</v>
      </c>
      <c r="I164" s="21" t="s">
        <v>46</v>
      </c>
      <c r="J164" s="22" t="s">
        <v>47</v>
      </c>
      <c r="M164" s="23" t="s">
        <v>0</v>
      </c>
      <c r="O164" s="1" t="s">
        <v>5</v>
      </c>
    </row>
    <row r="165" spans="1:15" ht="17" thickBot="1" x14ac:dyDescent="0.25">
      <c r="F165" s="3" t="s">
        <v>101</v>
      </c>
      <c r="G165" s="133" t="s">
        <v>26</v>
      </c>
      <c r="H165" s="30">
        <f>M165+4-O165</f>
        <v>40.122320175170898</v>
      </c>
      <c r="I165" s="36">
        <v>42.705581188201897</v>
      </c>
      <c r="J165" s="8">
        <f>IF(I165,I165-H165,FALSE)</f>
        <v>2.5832610130309988</v>
      </c>
      <c r="L165" s="128">
        <f>IF(J165=FALSE,20,J165)</f>
        <v>2.5832610130309988</v>
      </c>
      <c r="M165" s="25">
        <v>39.174118995666497</v>
      </c>
      <c r="O165" s="1">
        <v>3.0517988204956001</v>
      </c>
    </row>
    <row r="166" spans="1:15" x14ac:dyDescent="0.2">
      <c r="B166" s="24" t="s">
        <v>26</v>
      </c>
      <c r="C166" s="40">
        <f>H165-$M$165</f>
        <v>0.94820117950440164</v>
      </c>
      <c r="D166" s="49">
        <f>I165-H165</f>
        <v>2.5832610130309988</v>
      </c>
      <c r="E166" s="41">
        <v>1</v>
      </c>
      <c r="G166" s="134" t="s">
        <v>27</v>
      </c>
      <c r="H166" s="13">
        <f>H165+20</f>
        <v>60.122320175170898</v>
      </c>
      <c r="I166" s="1">
        <v>62.409225940704303</v>
      </c>
      <c r="J166" s="8">
        <f t="shared" ref="J166:J179" si="22">IF(I166,I166-H166,FALSE)</f>
        <v>2.2869057655334046</v>
      </c>
      <c r="L166" s="128">
        <f t="shared" ref="L166:L179" si="23">IF(J166=FALSE,20,J166)</f>
        <v>2.2869057655334046</v>
      </c>
      <c r="M166" s="25">
        <v>183.59444737434299</v>
      </c>
    </row>
    <row r="167" spans="1:15" x14ac:dyDescent="0.2">
      <c r="B167" s="26" t="s">
        <v>27</v>
      </c>
      <c r="C167" s="13">
        <f>H166-$M$165</f>
        <v>20.948201179504402</v>
      </c>
      <c r="D167" s="45">
        <f>I170-H170</f>
        <v>10.88693308830301</v>
      </c>
      <c r="E167" s="2">
        <v>1</v>
      </c>
      <c r="F167" s="3" t="s">
        <v>101</v>
      </c>
      <c r="G167" s="134" t="s">
        <v>13</v>
      </c>
      <c r="H167" s="13">
        <f>H166+20</f>
        <v>80.122320175170898</v>
      </c>
      <c r="I167" s="4">
        <v>83.612627029418903</v>
      </c>
      <c r="J167" s="8">
        <f t="shared" si="22"/>
        <v>3.4903068542480042</v>
      </c>
      <c r="L167" s="128">
        <f t="shared" si="23"/>
        <v>3.4903068542480042</v>
      </c>
      <c r="M167" s="25">
        <v>302.74664258956898</v>
      </c>
    </row>
    <row r="168" spans="1:15" ht="17" thickBot="1" x14ac:dyDescent="0.25">
      <c r="B168" s="33" t="s">
        <v>13</v>
      </c>
      <c r="C168" s="42">
        <f>H167-$M$165</f>
        <v>40.948201179504402</v>
      </c>
      <c r="D168" s="50">
        <f>I171-H171</f>
        <v>8.6732535362240242</v>
      </c>
      <c r="E168" s="43">
        <v>1</v>
      </c>
      <c r="G168" s="134" t="s">
        <v>28</v>
      </c>
      <c r="H168" s="13">
        <f>M166+4</f>
        <v>187.59444737434299</v>
      </c>
      <c r="I168" s="8" t="b">
        <f>FALSE</f>
        <v>0</v>
      </c>
      <c r="J168" s="8" t="b">
        <f t="shared" si="22"/>
        <v>0</v>
      </c>
      <c r="L168" s="128">
        <f t="shared" si="23"/>
        <v>20</v>
      </c>
      <c r="M168" s="25">
        <v>431.21151447296103</v>
      </c>
    </row>
    <row r="169" spans="1:15" ht="17" thickBot="1" x14ac:dyDescent="0.25">
      <c r="D169" s="45"/>
      <c r="G169" s="134" t="s">
        <v>29</v>
      </c>
      <c r="H169" s="13">
        <f>H168+20</f>
        <v>207.59444737434299</v>
      </c>
      <c r="I169" s="8" t="b">
        <f>FALSE</f>
        <v>0</v>
      </c>
      <c r="J169" s="8" t="b">
        <f t="shared" si="22"/>
        <v>0</v>
      </c>
      <c r="L169" s="128">
        <f t="shared" si="23"/>
        <v>20</v>
      </c>
      <c r="M169" s="29">
        <v>576.59997391700699</v>
      </c>
    </row>
    <row r="170" spans="1:15" ht="17" thickBot="1" x14ac:dyDescent="0.25">
      <c r="B170" s="51" t="s">
        <v>16</v>
      </c>
      <c r="C170" s="52">
        <f>H170-$M$166</f>
        <v>44</v>
      </c>
      <c r="D170" s="53">
        <f>I174-H174</f>
        <v>15.277590274810962</v>
      </c>
      <c r="E170" s="54">
        <v>1</v>
      </c>
      <c r="G170" s="134" t="s">
        <v>16</v>
      </c>
      <c r="H170" s="13">
        <f>H169+20</f>
        <v>227.59444737434299</v>
      </c>
      <c r="I170" s="95">
        <v>238.481380462646</v>
      </c>
      <c r="J170" s="8">
        <f t="shared" si="22"/>
        <v>10.88693308830301</v>
      </c>
      <c r="L170" s="128">
        <f t="shared" si="23"/>
        <v>10.88693308830301</v>
      </c>
    </row>
    <row r="171" spans="1:15" ht="17" thickBot="1" x14ac:dyDescent="0.25">
      <c r="D171" s="45"/>
      <c r="G171" s="134" t="s">
        <v>30</v>
      </c>
      <c r="H171" s="13">
        <f>M167+4</f>
        <v>306.74664258956898</v>
      </c>
      <c r="I171" s="1">
        <v>315.419896125793</v>
      </c>
      <c r="J171" s="8">
        <f t="shared" si="22"/>
        <v>8.6732535362240242</v>
      </c>
      <c r="L171" s="128">
        <f t="shared" si="23"/>
        <v>8.6732535362240242</v>
      </c>
    </row>
    <row r="172" spans="1:15" x14ac:dyDescent="0.2">
      <c r="B172" s="24" t="s">
        <v>30</v>
      </c>
      <c r="C172" s="31">
        <f>H171-$M$167</f>
        <v>4</v>
      </c>
      <c r="D172" s="47">
        <f>I171-$H$171</f>
        <v>8.6732535362240242</v>
      </c>
      <c r="E172" s="32">
        <v>1</v>
      </c>
      <c r="G172" s="134" t="s">
        <v>31</v>
      </c>
      <c r="H172" s="13">
        <f>H171+20</f>
        <v>326.74664258956898</v>
      </c>
      <c r="I172" s="1">
        <v>332.84414410591103</v>
      </c>
      <c r="J172" s="8">
        <f t="shared" si="22"/>
        <v>6.0975015163420494</v>
      </c>
      <c r="L172" s="128">
        <f t="shared" si="23"/>
        <v>6.0975015163420494</v>
      </c>
      <c r="M172" s="118" t="s">
        <v>222</v>
      </c>
    </row>
    <row r="173" spans="1:15" x14ac:dyDescent="0.2">
      <c r="B173" s="26" t="s">
        <v>31</v>
      </c>
      <c r="C173" s="1">
        <f>H172-$M$167</f>
        <v>24</v>
      </c>
      <c r="D173" s="45">
        <f>I172-H172</f>
        <v>6.0975015163420494</v>
      </c>
      <c r="E173" s="2">
        <v>1</v>
      </c>
      <c r="G173" s="134" t="s">
        <v>19</v>
      </c>
      <c r="H173" s="13">
        <f>H172+20</f>
        <v>346.74664258956898</v>
      </c>
      <c r="I173" s="4">
        <v>350.68974089622498</v>
      </c>
      <c r="J173" s="8">
        <f t="shared" si="22"/>
        <v>3.9430983066559975</v>
      </c>
      <c r="L173" s="128">
        <f t="shared" si="23"/>
        <v>3.9430983066559975</v>
      </c>
      <c r="M173" s="118">
        <v>1</v>
      </c>
    </row>
    <row r="174" spans="1:15" ht="17" thickBot="1" x14ac:dyDescent="0.25">
      <c r="B174" s="33" t="s">
        <v>19</v>
      </c>
      <c r="C174" s="15">
        <f>H173-$M$167</f>
        <v>44</v>
      </c>
      <c r="D174" s="50">
        <f>I173-H173</f>
        <v>3.9430983066559975</v>
      </c>
      <c r="E174" s="43">
        <v>1</v>
      </c>
      <c r="G174" s="134" t="s">
        <v>32</v>
      </c>
      <c r="H174" s="13">
        <f>M168+4</f>
        <v>435.21151447296103</v>
      </c>
      <c r="I174" s="1">
        <v>450.48910474777199</v>
      </c>
      <c r="J174" s="8">
        <f t="shared" si="22"/>
        <v>15.277590274810962</v>
      </c>
      <c r="L174" s="128">
        <f t="shared" si="23"/>
        <v>15.277590274810962</v>
      </c>
    </row>
    <row r="175" spans="1:15" ht="17" thickBot="1" x14ac:dyDescent="0.25">
      <c r="G175" s="134" t="s">
        <v>22</v>
      </c>
      <c r="H175" s="13">
        <f>H174+20</f>
        <v>455.21151447296103</v>
      </c>
      <c r="I175" s="5">
        <v>472.15616273879999</v>
      </c>
      <c r="J175" s="8">
        <f t="shared" si="22"/>
        <v>16.944648265838964</v>
      </c>
      <c r="L175" s="128">
        <f t="shared" si="23"/>
        <v>16.944648265838964</v>
      </c>
    </row>
    <row r="176" spans="1:15" x14ac:dyDescent="0.2">
      <c r="B176" s="24" t="s">
        <v>32</v>
      </c>
      <c r="C176" s="31">
        <f>H174-$M$168</f>
        <v>4</v>
      </c>
      <c r="D176" s="47">
        <f>I175-$H$171</f>
        <v>165.40952014923101</v>
      </c>
      <c r="E176" s="32">
        <v>1</v>
      </c>
      <c r="F176" s="3" t="s">
        <v>100</v>
      </c>
      <c r="G176" s="134" t="s">
        <v>33</v>
      </c>
      <c r="H176" s="13">
        <f>H175+20</f>
        <v>475.21151447296103</v>
      </c>
      <c r="I176" s="1">
        <v>483.781031370162</v>
      </c>
      <c r="J176" s="8">
        <f t="shared" si="22"/>
        <v>8.5695168972009697</v>
      </c>
      <c r="L176" s="128">
        <f t="shared" si="23"/>
        <v>8.5695168972009697</v>
      </c>
    </row>
    <row r="177" spans="1:15" x14ac:dyDescent="0.2">
      <c r="B177" s="26" t="s">
        <v>22</v>
      </c>
      <c r="C177" s="1">
        <f>H175-$M$168</f>
        <v>24</v>
      </c>
      <c r="D177" s="45">
        <f>I176-H176</f>
        <v>8.5695168972009697</v>
      </c>
      <c r="E177" s="2">
        <v>1</v>
      </c>
      <c r="G177" s="134" t="s">
        <v>34</v>
      </c>
      <c r="H177" s="13">
        <f>M169+4</f>
        <v>580.59997391700699</v>
      </c>
      <c r="I177" s="1">
        <v>583.36385345458905</v>
      </c>
      <c r="J177" s="8">
        <f t="shared" si="22"/>
        <v>2.7638795375820564</v>
      </c>
      <c r="L177" s="128">
        <f t="shared" si="23"/>
        <v>2.7638795375820564</v>
      </c>
    </row>
    <row r="178" spans="1:15" ht="17" thickBot="1" x14ac:dyDescent="0.25">
      <c r="B178" s="33" t="s">
        <v>33</v>
      </c>
      <c r="C178" s="15">
        <f>H176-$M$168</f>
        <v>44</v>
      </c>
      <c r="D178" s="50">
        <f>I177-H177</f>
        <v>2.7638795375820564</v>
      </c>
      <c r="E178" s="43">
        <v>1</v>
      </c>
      <c r="G178" s="134" t="s">
        <v>35</v>
      </c>
      <c r="H178" s="13">
        <f>H177+20</f>
        <v>600.59997391700699</v>
      </c>
      <c r="I178" s="1">
        <v>605.75016784667901</v>
      </c>
      <c r="J178" s="8">
        <f t="shared" si="22"/>
        <v>5.1501939296720138</v>
      </c>
      <c r="L178" s="128">
        <f t="shared" si="23"/>
        <v>5.1501939296720138</v>
      </c>
    </row>
    <row r="179" spans="1:15" ht="17" thickBot="1" x14ac:dyDescent="0.25">
      <c r="G179" s="135" t="s">
        <v>36</v>
      </c>
      <c r="H179" s="14">
        <f>H178+20</f>
        <v>620.59997391700699</v>
      </c>
      <c r="I179" s="19">
        <v>636.16708302497796</v>
      </c>
      <c r="J179" s="8">
        <f t="shared" si="22"/>
        <v>15.567109107970964</v>
      </c>
      <c r="L179" s="128">
        <f t="shared" si="23"/>
        <v>15.567109107970964</v>
      </c>
    </row>
    <row r="180" spans="1:15" x14ac:dyDescent="0.2">
      <c r="B180" s="24" t="s">
        <v>34</v>
      </c>
      <c r="C180" s="31">
        <f>H177-$M$169</f>
        <v>4</v>
      </c>
      <c r="D180" s="47">
        <f>I177-H177</f>
        <v>2.7638795375820564</v>
      </c>
      <c r="E180" s="32">
        <v>1</v>
      </c>
      <c r="H180" s="1" t="s">
        <v>53</v>
      </c>
      <c r="I180" s="1">
        <v>5</v>
      </c>
      <c r="L180" s="128">
        <f>AVERAGE(L167:L179)</f>
        <v>10.566463947296077</v>
      </c>
    </row>
    <row r="181" spans="1:15" x14ac:dyDescent="0.2">
      <c r="B181" s="26" t="s">
        <v>35</v>
      </c>
      <c r="C181" s="1">
        <f>H178-$M$169</f>
        <v>24</v>
      </c>
      <c r="D181" s="45">
        <f>I178-H178</f>
        <v>5.1501939296720138</v>
      </c>
      <c r="E181" s="2">
        <v>1</v>
      </c>
    </row>
    <row r="182" spans="1:15" ht="17" thickBot="1" x14ac:dyDescent="0.25">
      <c r="B182" s="33" t="s">
        <v>36</v>
      </c>
      <c r="C182" s="15">
        <f>H179-$M$169</f>
        <v>44</v>
      </c>
      <c r="D182" s="50">
        <f>I179-H179</f>
        <v>15.567109107970964</v>
      </c>
      <c r="E182" s="43">
        <v>1</v>
      </c>
    </row>
    <row r="183" spans="1:15" ht="17" thickBot="1" x14ac:dyDescent="0.25"/>
    <row r="184" spans="1:15" ht="17" thickBot="1" x14ac:dyDescent="0.25">
      <c r="A184" s="1" t="s">
        <v>50</v>
      </c>
      <c r="B184" s="1" t="s">
        <v>4</v>
      </c>
      <c r="G184" s="1">
        <v>9</v>
      </c>
      <c r="H184" s="20" t="s">
        <v>45</v>
      </c>
      <c r="I184" s="21" t="s">
        <v>46</v>
      </c>
      <c r="J184" s="22" t="s">
        <v>47</v>
      </c>
      <c r="M184" s="23" t="s">
        <v>0</v>
      </c>
      <c r="O184" s="1" t="s">
        <v>5</v>
      </c>
    </row>
    <row r="185" spans="1:15" x14ac:dyDescent="0.2">
      <c r="A185" s="1" t="s">
        <v>169</v>
      </c>
      <c r="B185" s="1" t="s">
        <v>170</v>
      </c>
      <c r="C185" s="1" t="s">
        <v>171</v>
      </c>
      <c r="D185" s="1" t="s">
        <v>172</v>
      </c>
      <c r="E185" s="1" t="s">
        <v>173</v>
      </c>
      <c r="F185" s="1" t="s">
        <v>44</v>
      </c>
      <c r="G185" s="34" t="s">
        <v>11</v>
      </c>
      <c r="H185" s="38">
        <f>M185+4-O185</f>
        <v>44.82751536369323</v>
      </c>
      <c r="I185" s="39">
        <v>62.740094184875403</v>
      </c>
      <c r="J185" s="8">
        <f>IF(I185,I185-H185,FALSE)</f>
        <v>17.912578821182173</v>
      </c>
      <c r="M185" s="25">
        <v>43.8336408138275</v>
      </c>
      <c r="O185" s="1">
        <v>3.0061254501342698</v>
      </c>
    </row>
    <row r="186" spans="1:15" x14ac:dyDescent="0.2">
      <c r="A186" s="1">
        <v>4.5833333333333304</v>
      </c>
      <c r="B186" s="1">
        <v>3.6184210526315699</v>
      </c>
      <c r="C186" s="1">
        <v>4.5</v>
      </c>
      <c r="D186" s="1">
        <v>4.2361111111111098</v>
      </c>
      <c r="E186" s="1">
        <v>2.63888888888888</v>
      </c>
      <c r="G186" s="35" t="s">
        <v>12</v>
      </c>
      <c r="H186" s="9">
        <f>H185+20</f>
        <v>64.827515363693237</v>
      </c>
      <c r="I186" s="7" t="b">
        <f>FALSE</f>
        <v>0</v>
      </c>
      <c r="J186" s="8" t="b">
        <f t="shared" ref="J186:J199" si="24">IF(I186,I186-H186,FALSE)</f>
        <v>0</v>
      </c>
      <c r="M186" s="25">
        <v>181.503553628921</v>
      </c>
    </row>
    <row r="187" spans="1:15" x14ac:dyDescent="0.2">
      <c r="G187" s="26" t="s">
        <v>13</v>
      </c>
      <c r="H187" s="9">
        <f>H186+20</f>
        <v>84.827515363693237</v>
      </c>
      <c r="I187" s="5">
        <v>90.990144729614201</v>
      </c>
      <c r="J187" s="8">
        <f t="shared" si="24"/>
        <v>6.1626293659209637</v>
      </c>
      <c r="L187" s="128">
        <f t="shared" ref="L186:L199" si="25">IF(J187=FALSE,20,J187)</f>
        <v>6.1626293659209637</v>
      </c>
      <c r="M187" s="25">
        <v>300.577717304229</v>
      </c>
    </row>
    <row r="188" spans="1:15" x14ac:dyDescent="0.2">
      <c r="G188" s="35" t="s">
        <v>14</v>
      </c>
      <c r="H188" s="9">
        <f>M186+4</f>
        <v>185.503553628921</v>
      </c>
      <c r="I188" s="7" t="b">
        <f>FALSE</f>
        <v>0</v>
      </c>
      <c r="J188" s="8" t="b">
        <f t="shared" si="24"/>
        <v>0</v>
      </c>
      <c r="M188" s="25">
        <v>425.91676235198901</v>
      </c>
    </row>
    <row r="189" spans="1:15" ht="17" thickBot="1" x14ac:dyDescent="0.25">
      <c r="G189" s="35" t="s">
        <v>15</v>
      </c>
      <c r="H189" s="9">
        <f>H188+20</f>
        <v>205.503553628921</v>
      </c>
      <c r="I189" s="7" t="b">
        <f>FALSE</f>
        <v>0</v>
      </c>
      <c r="J189" s="8" t="b">
        <f t="shared" si="24"/>
        <v>0</v>
      </c>
      <c r="M189" s="29">
        <v>555.47611522674504</v>
      </c>
    </row>
    <row r="190" spans="1:15" x14ac:dyDescent="0.2">
      <c r="B190" s="24" t="s">
        <v>11</v>
      </c>
      <c r="C190" s="1">
        <f>H185-$M$185</f>
        <v>0.99387454986572976</v>
      </c>
      <c r="D190" s="1">
        <f>I185-$M$185</f>
        <v>18.906453371047903</v>
      </c>
      <c r="G190" s="26" t="s">
        <v>16</v>
      </c>
      <c r="H190" s="9">
        <f>H189+20</f>
        <v>225.503553628921</v>
      </c>
      <c r="I190" s="5">
        <v>234.13086080551099</v>
      </c>
      <c r="J190" s="8">
        <f t="shared" si="24"/>
        <v>8.6273071765899942</v>
      </c>
      <c r="L190" s="128">
        <f t="shared" si="25"/>
        <v>8.6273071765899942</v>
      </c>
    </row>
    <row r="191" spans="1:15" ht="17" thickBot="1" x14ac:dyDescent="0.25">
      <c r="B191" s="35" t="s">
        <v>12</v>
      </c>
      <c r="C191" s="1">
        <f>H186-$M$185</f>
        <v>20.993874549865737</v>
      </c>
      <c r="G191" s="35" t="s">
        <v>17</v>
      </c>
      <c r="H191" s="9">
        <f>M187+4</f>
        <v>304.577717304229</v>
      </c>
      <c r="I191" s="7" t="b">
        <f>FALSE</f>
        <v>0</v>
      </c>
      <c r="J191" s="8" t="b">
        <f t="shared" si="24"/>
        <v>0</v>
      </c>
    </row>
    <row r="192" spans="1:15" ht="17" thickBot="1" x14ac:dyDescent="0.25">
      <c r="B192" s="51" t="s">
        <v>13</v>
      </c>
      <c r="C192" s="52">
        <f>H187-$M$185</f>
        <v>40.993874549865737</v>
      </c>
      <c r="D192" s="53">
        <f>I187-H187</f>
        <v>6.1626293659209637</v>
      </c>
      <c r="E192" s="54">
        <v>1</v>
      </c>
      <c r="G192" s="35" t="s">
        <v>18</v>
      </c>
      <c r="H192" s="9">
        <f>H191+20</f>
        <v>324.577717304229</v>
      </c>
      <c r="I192" s="7" t="b">
        <f>FALSE</f>
        <v>0</v>
      </c>
      <c r="J192" s="8" t="b">
        <f t="shared" si="24"/>
        <v>0</v>
      </c>
    </row>
    <row r="193" spans="1:15" ht="17" thickBot="1" x14ac:dyDescent="0.25">
      <c r="G193" s="26" t="s">
        <v>19</v>
      </c>
      <c r="H193" s="9">
        <f>H192+20</f>
        <v>344.577717304229</v>
      </c>
      <c r="I193" s="17" t="b">
        <v>0</v>
      </c>
      <c r="J193" s="8" t="b">
        <f t="shared" si="24"/>
        <v>0</v>
      </c>
      <c r="L193" s="132">
        <v>20</v>
      </c>
      <c r="M193" s="118" t="s">
        <v>222</v>
      </c>
    </row>
    <row r="194" spans="1:15" ht="17" thickBot="1" x14ac:dyDescent="0.25">
      <c r="B194" s="51" t="s">
        <v>16</v>
      </c>
      <c r="C194" s="52">
        <f>H190-$M$186</f>
        <v>44</v>
      </c>
      <c r="D194" s="53">
        <f>I190-H190</f>
        <v>8.6273071765899942</v>
      </c>
      <c r="E194" s="54">
        <v>1</v>
      </c>
      <c r="G194" s="35" t="s">
        <v>20</v>
      </c>
      <c r="H194" s="9">
        <f>M188+4</f>
        <v>429.91676235198901</v>
      </c>
      <c r="I194" s="7" t="b">
        <f>FALSE</f>
        <v>0</v>
      </c>
      <c r="J194" s="8" t="b">
        <f t="shared" si="24"/>
        <v>0</v>
      </c>
      <c r="M194" s="118">
        <v>0.6</v>
      </c>
    </row>
    <row r="195" spans="1:15" ht="17" thickBot="1" x14ac:dyDescent="0.25">
      <c r="G195" s="35" t="s">
        <v>21</v>
      </c>
      <c r="H195" s="9">
        <f>H194+20</f>
        <v>449.91676235198901</v>
      </c>
      <c r="I195" s="7" t="b">
        <f>FALSE</f>
        <v>0</v>
      </c>
      <c r="J195" s="8" t="b">
        <f t="shared" si="24"/>
        <v>0</v>
      </c>
    </row>
    <row r="196" spans="1:15" ht="17" thickBot="1" x14ac:dyDescent="0.25">
      <c r="B196" s="51" t="s">
        <v>22</v>
      </c>
      <c r="C196" s="52">
        <f>H196-$M$188</f>
        <v>44</v>
      </c>
      <c r="D196" s="53">
        <f>I196-H196</f>
        <v>9.6375489234930001</v>
      </c>
      <c r="E196" s="54">
        <v>1</v>
      </c>
      <c r="G196" s="26" t="s">
        <v>22</v>
      </c>
      <c r="H196" s="9">
        <f>H195+20</f>
        <v>469.91676235198901</v>
      </c>
      <c r="I196" s="5">
        <v>479.55431127548201</v>
      </c>
      <c r="J196" s="8">
        <f t="shared" si="24"/>
        <v>9.6375489234930001</v>
      </c>
      <c r="L196" s="128">
        <f t="shared" si="25"/>
        <v>9.6375489234930001</v>
      </c>
    </row>
    <row r="197" spans="1:15" x14ac:dyDescent="0.2">
      <c r="G197" s="35" t="s">
        <v>23</v>
      </c>
      <c r="H197" s="9">
        <f>M189+4</f>
        <v>559.47611522674504</v>
      </c>
      <c r="I197" s="7" t="b">
        <f>FALSE</f>
        <v>0</v>
      </c>
      <c r="J197" s="8" t="b">
        <f t="shared" si="24"/>
        <v>0</v>
      </c>
    </row>
    <row r="198" spans="1:15" x14ac:dyDescent="0.2">
      <c r="G198" s="35" t="s">
        <v>24</v>
      </c>
      <c r="H198" s="9">
        <f>H197+20</f>
        <v>579.47611522674504</v>
      </c>
      <c r="I198" s="7" t="b">
        <v>0</v>
      </c>
      <c r="J198" s="8" t="b">
        <f t="shared" si="24"/>
        <v>0</v>
      </c>
    </row>
    <row r="199" spans="1:15" ht="17" thickBot="1" x14ac:dyDescent="0.25">
      <c r="G199" s="33" t="s">
        <v>25</v>
      </c>
      <c r="H199" s="10">
        <f>H198+20</f>
        <v>599.47611522674504</v>
      </c>
      <c r="I199" s="37" t="b">
        <f>FALSE</f>
        <v>0</v>
      </c>
      <c r="J199" s="8" t="b">
        <f t="shared" si="24"/>
        <v>0</v>
      </c>
      <c r="L199" s="132">
        <v>20</v>
      </c>
    </row>
    <row r="200" spans="1:15" x14ac:dyDescent="0.2">
      <c r="H200" s="1" t="s">
        <v>53</v>
      </c>
      <c r="I200" s="1">
        <v>3</v>
      </c>
      <c r="L200" s="128">
        <f>AVERAGE(L187:L199)</f>
        <v>12.885497093200792</v>
      </c>
    </row>
    <row r="204" spans="1:15" ht="17" thickBot="1" x14ac:dyDescent="0.25">
      <c r="G204" s="1" t="s">
        <v>229</v>
      </c>
    </row>
    <row r="205" spans="1:15" ht="17" thickBot="1" x14ac:dyDescent="0.25">
      <c r="A205" s="1" t="s">
        <v>69</v>
      </c>
      <c r="B205" s="1" t="s">
        <v>4</v>
      </c>
      <c r="G205" s="1">
        <v>10</v>
      </c>
      <c r="H205" s="20" t="s">
        <v>45</v>
      </c>
      <c r="I205" s="21" t="s">
        <v>46</v>
      </c>
      <c r="J205" s="22" t="s">
        <v>47</v>
      </c>
      <c r="M205" s="23" t="s">
        <v>0</v>
      </c>
      <c r="O205" s="1" t="s">
        <v>5</v>
      </c>
    </row>
    <row r="206" spans="1:15" x14ac:dyDescent="0.2">
      <c r="A206" s="1" t="s">
        <v>169</v>
      </c>
      <c r="B206" s="1" t="s">
        <v>170</v>
      </c>
      <c r="C206" s="1" t="s">
        <v>171</v>
      </c>
      <c r="D206" s="1" t="s">
        <v>172</v>
      </c>
      <c r="E206" s="1" t="s">
        <v>173</v>
      </c>
      <c r="F206" s="3" t="s">
        <v>93</v>
      </c>
      <c r="G206" s="34" t="s">
        <v>11</v>
      </c>
      <c r="H206" s="38">
        <f>M206+4-O206</f>
        <v>38.958890438079791</v>
      </c>
      <c r="I206" s="39">
        <v>50.609383583068798</v>
      </c>
      <c r="J206" s="8">
        <f>IF(I206,I206-H206,FALSE)</f>
        <v>11.650493144989007</v>
      </c>
      <c r="M206" s="25">
        <v>38.010564804077099</v>
      </c>
      <c r="O206" s="1">
        <v>3.05167436599731</v>
      </c>
    </row>
    <row r="207" spans="1:15" x14ac:dyDescent="0.2">
      <c r="A207" s="1">
        <v>2.2222222222222201</v>
      </c>
      <c r="B207" s="1">
        <v>3.75</v>
      </c>
      <c r="C207" s="1">
        <v>2.25</v>
      </c>
      <c r="D207" s="1">
        <v>2.2222222222222201</v>
      </c>
      <c r="E207" s="1">
        <v>1.94444444444444</v>
      </c>
      <c r="G207" s="35" t="s">
        <v>12</v>
      </c>
      <c r="H207" s="9">
        <f>H206+20</f>
        <v>58.958890438079791</v>
      </c>
      <c r="I207" s="7" t="b">
        <f>FALSE</f>
        <v>0</v>
      </c>
      <c r="J207" s="8" t="b">
        <f t="shared" ref="J207:J220" si="26">IF(I207,I207-H207,FALSE)</f>
        <v>0</v>
      </c>
      <c r="M207" s="25">
        <v>177.85982465743999</v>
      </c>
    </row>
    <row r="208" spans="1:15" ht="17" thickBot="1" x14ac:dyDescent="0.25">
      <c r="G208" s="26" t="s">
        <v>13</v>
      </c>
      <c r="H208" s="9">
        <f>H207+20</f>
        <v>78.958890438079791</v>
      </c>
      <c r="I208" s="5">
        <v>86.112001895904498</v>
      </c>
      <c r="J208" s="8">
        <f t="shared" si="26"/>
        <v>7.153111457824707</v>
      </c>
      <c r="L208" s="128">
        <f t="shared" ref="L207:L220" si="27">IF(J208=FALSE,20,J208)</f>
        <v>7.153111457824707</v>
      </c>
      <c r="M208" s="25">
        <v>307.59880208969099</v>
      </c>
    </row>
    <row r="209" spans="1:13" x14ac:dyDescent="0.2">
      <c r="B209" s="34" t="s">
        <v>11</v>
      </c>
      <c r="C209" s="1">
        <f>H206-M206</f>
        <v>0.94832563400269265</v>
      </c>
      <c r="F209" s="3" t="s">
        <v>10</v>
      </c>
      <c r="G209" s="35" t="s">
        <v>14</v>
      </c>
      <c r="H209" s="9">
        <f>M207+4</f>
        <v>181.85982465743999</v>
      </c>
      <c r="I209" s="6">
        <f>195.265128612518</f>
        <v>195.265128612518</v>
      </c>
      <c r="J209" s="8">
        <f t="shared" si="26"/>
        <v>13.405303955078011</v>
      </c>
      <c r="M209" s="25">
        <v>421.14436340332003</v>
      </c>
    </row>
    <row r="210" spans="1:13" ht="17" thickBot="1" x14ac:dyDescent="0.25">
      <c r="B210" s="35" t="s">
        <v>12</v>
      </c>
      <c r="C210" s="1">
        <f>C209+20</f>
        <v>20.948325634002693</v>
      </c>
      <c r="G210" s="35" t="s">
        <v>15</v>
      </c>
      <c r="H210" s="9">
        <f>H209+20</f>
        <v>201.85982465743999</v>
      </c>
      <c r="I210" s="7" t="b">
        <f>FALSE</f>
        <v>0</v>
      </c>
      <c r="J210" s="8" t="b">
        <f t="shared" si="26"/>
        <v>0</v>
      </c>
      <c r="M210" s="29">
        <v>537.20729660987797</v>
      </c>
    </row>
    <row r="211" spans="1:13" x14ac:dyDescent="0.2">
      <c r="B211" s="26" t="s">
        <v>13</v>
      </c>
      <c r="C211" s="1">
        <f>C210+20</f>
        <v>40.948325634002693</v>
      </c>
      <c r="D211" s="1">
        <f>I208-H208</f>
        <v>7.153111457824707</v>
      </c>
      <c r="G211" s="26" t="s">
        <v>16</v>
      </c>
      <c r="H211" s="9">
        <f>H210+20</f>
        <v>221.85982465743999</v>
      </c>
      <c r="I211" s="5">
        <v>225.494886398315</v>
      </c>
      <c r="J211" s="8">
        <f t="shared" si="26"/>
        <v>3.6350617408750168</v>
      </c>
      <c r="L211" s="128">
        <f t="shared" si="27"/>
        <v>3.6350617408750168</v>
      </c>
    </row>
    <row r="212" spans="1:13" x14ac:dyDescent="0.2">
      <c r="G212" s="35" t="s">
        <v>17</v>
      </c>
      <c r="H212" s="9">
        <f>M208+4</f>
        <v>311.59880208969099</v>
      </c>
      <c r="I212" s="7" t="b">
        <f>FALSE</f>
        <v>0</v>
      </c>
      <c r="J212" s="8" t="b">
        <f t="shared" si="26"/>
        <v>0</v>
      </c>
    </row>
    <row r="213" spans="1:13" x14ac:dyDescent="0.2">
      <c r="B213" s="35" t="s">
        <v>14</v>
      </c>
      <c r="C213" s="1">
        <v>4</v>
      </c>
      <c r="G213" s="35" t="s">
        <v>18</v>
      </c>
      <c r="H213" s="9">
        <f>H212+20</f>
        <v>331.59880208969099</v>
      </c>
      <c r="I213" s="7" t="b">
        <f>FALSE</f>
        <v>0</v>
      </c>
      <c r="J213" s="8" t="b">
        <f t="shared" si="26"/>
        <v>0</v>
      </c>
    </row>
    <row r="214" spans="1:13" x14ac:dyDescent="0.2">
      <c r="B214" s="35" t="s">
        <v>15</v>
      </c>
      <c r="C214" s="1">
        <v>24</v>
      </c>
      <c r="G214" s="26" t="s">
        <v>19</v>
      </c>
      <c r="H214" s="9">
        <f>H213+20</f>
        <v>351.59880208969099</v>
      </c>
      <c r="I214" s="5">
        <v>365.99383807182301</v>
      </c>
      <c r="J214" s="8">
        <f t="shared" si="26"/>
        <v>14.395035982132015</v>
      </c>
      <c r="L214" s="128">
        <f t="shared" si="27"/>
        <v>14.395035982132015</v>
      </c>
    </row>
    <row r="215" spans="1:13" x14ac:dyDescent="0.2">
      <c r="B215" s="26" t="s">
        <v>16</v>
      </c>
      <c r="C215" s="1">
        <v>44</v>
      </c>
      <c r="D215" s="1">
        <f>I211-H211</f>
        <v>3.6350617408750168</v>
      </c>
      <c r="G215" s="35" t="s">
        <v>20</v>
      </c>
      <c r="H215" s="9">
        <f>M209+4</f>
        <v>425.14436340332003</v>
      </c>
      <c r="I215" s="7" t="b">
        <f>FALSE</f>
        <v>0</v>
      </c>
      <c r="J215" s="8" t="b">
        <f t="shared" si="26"/>
        <v>0</v>
      </c>
      <c r="L215" s="128" t="s">
        <v>219</v>
      </c>
      <c r="M215" s="118" t="s">
        <v>222</v>
      </c>
    </row>
    <row r="216" spans="1:13" x14ac:dyDescent="0.2">
      <c r="D216" s="45"/>
      <c r="G216" s="35" t="s">
        <v>21</v>
      </c>
      <c r="H216" s="9">
        <f>H215+20</f>
        <v>445.14436340332003</v>
      </c>
      <c r="I216" s="7" t="b">
        <f>FALSE</f>
        <v>0</v>
      </c>
      <c r="J216" s="8" t="b">
        <f t="shared" si="26"/>
        <v>0</v>
      </c>
      <c r="M216" s="118">
        <v>0.8</v>
      </c>
    </row>
    <row r="217" spans="1:13" ht="17" thickBot="1" x14ac:dyDescent="0.25">
      <c r="B217" s="35" t="s">
        <v>17</v>
      </c>
      <c r="C217" s="1">
        <v>4</v>
      </c>
      <c r="G217" s="26" t="s">
        <v>22</v>
      </c>
      <c r="H217" s="9">
        <f>H216+20</f>
        <v>465.14436340332003</v>
      </c>
      <c r="I217" s="37" t="b">
        <f>FALSE</f>
        <v>0</v>
      </c>
      <c r="J217" s="8" t="b">
        <f t="shared" si="26"/>
        <v>0</v>
      </c>
      <c r="L217" s="132">
        <v>20</v>
      </c>
    </row>
    <row r="218" spans="1:13" x14ac:dyDescent="0.2">
      <c r="B218" s="35" t="s">
        <v>18</v>
      </c>
      <c r="C218" s="1">
        <v>24</v>
      </c>
      <c r="D218" s="45"/>
      <c r="G218" s="35" t="s">
        <v>23</v>
      </c>
      <c r="H218" s="9">
        <f>M210+4</f>
        <v>541.20729660987797</v>
      </c>
      <c r="I218" s="7" t="b">
        <f>FALSE</f>
        <v>0</v>
      </c>
      <c r="J218" s="8" t="b">
        <f t="shared" si="26"/>
        <v>0</v>
      </c>
    </row>
    <row r="219" spans="1:13" x14ac:dyDescent="0.2">
      <c r="B219" s="26" t="s">
        <v>19</v>
      </c>
      <c r="C219" s="1">
        <v>44</v>
      </c>
      <c r="D219" s="1">
        <f>I214-H214</f>
        <v>14.395035982132015</v>
      </c>
      <c r="G219" s="35" t="s">
        <v>24</v>
      </c>
      <c r="H219" s="9">
        <f>H218+20</f>
        <v>561.20729660987797</v>
      </c>
      <c r="I219" s="7" t="b">
        <v>0</v>
      </c>
      <c r="J219" s="8" t="b">
        <f t="shared" si="26"/>
        <v>0</v>
      </c>
    </row>
    <row r="220" spans="1:13" ht="17" thickBot="1" x14ac:dyDescent="0.25">
      <c r="D220" s="45"/>
      <c r="G220" s="33" t="s">
        <v>25</v>
      </c>
      <c r="H220" s="10">
        <f>H219+20</f>
        <v>581.20729660987797</v>
      </c>
      <c r="I220" s="11">
        <f>601.197803258895</f>
        <v>601.19780325889496</v>
      </c>
      <c r="J220" s="8">
        <f t="shared" si="26"/>
        <v>19.990506649016993</v>
      </c>
      <c r="L220" s="128">
        <f t="shared" si="27"/>
        <v>19.990506649016993</v>
      </c>
    </row>
    <row r="221" spans="1:13" x14ac:dyDescent="0.2">
      <c r="A221" s="1" cm="1">
        <f t="array" aca="1" ref="A221" ca="1">221:229</f>
        <v>0</v>
      </c>
      <c r="B221" s="35" t="s">
        <v>20</v>
      </c>
      <c r="C221" s="1">
        <v>4</v>
      </c>
      <c r="H221" s="1" t="s">
        <v>53</v>
      </c>
      <c r="I221" s="1">
        <v>4</v>
      </c>
      <c r="L221" s="128">
        <f>AVERAGE(L208:L220)</f>
        <v>13.034743165969747</v>
      </c>
    </row>
    <row r="222" spans="1:13" x14ac:dyDescent="0.2">
      <c r="B222" s="35" t="s">
        <v>21</v>
      </c>
      <c r="C222" s="1">
        <v>24</v>
      </c>
    </row>
    <row r="223" spans="1:13" x14ac:dyDescent="0.2">
      <c r="B223" s="26" t="s">
        <v>22</v>
      </c>
      <c r="C223" s="1">
        <v>44</v>
      </c>
    </row>
    <row r="225" spans="1:15" x14ac:dyDescent="0.2">
      <c r="B225" s="35" t="s">
        <v>23</v>
      </c>
      <c r="C225" s="1">
        <v>4</v>
      </c>
    </row>
    <row r="226" spans="1:15" x14ac:dyDescent="0.2">
      <c r="B226" s="35" t="s">
        <v>24</v>
      </c>
      <c r="C226" s="1">
        <v>24</v>
      </c>
    </row>
    <row r="227" spans="1:15" ht="17" thickBot="1" x14ac:dyDescent="0.25">
      <c r="B227" s="33" t="s">
        <v>25</v>
      </c>
      <c r="C227" s="1">
        <v>44</v>
      </c>
      <c r="D227" s="1">
        <f>I220-H220</f>
        <v>19.990506649016993</v>
      </c>
    </row>
    <row r="230" spans="1:15" x14ac:dyDescent="0.2">
      <c r="A230" s="1" t="s">
        <v>52</v>
      </c>
      <c r="B230" s="1" t="s">
        <v>41</v>
      </c>
      <c r="C230" s="1" t="s">
        <v>2</v>
      </c>
    </row>
    <row r="231" spans="1:15" x14ac:dyDescent="0.2">
      <c r="C231" s="1" t="s">
        <v>3</v>
      </c>
    </row>
    <row r="232" spans="1:15" x14ac:dyDescent="0.2">
      <c r="A232" s="1" t="s">
        <v>169</v>
      </c>
      <c r="B232" s="1" t="s">
        <v>170</v>
      </c>
      <c r="C232" s="1" t="s">
        <v>171</v>
      </c>
      <c r="D232" s="1" t="s">
        <v>172</v>
      </c>
      <c r="E232" s="1" t="s">
        <v>173</v>
      </c>
    </row>
    <row r="233" spans="1:15" ht="17" thickBot="1" x14ac:dyDescent="0.25">
      <c r="A233" s="1">
        <v>3.88888888888888</v>
      </c>
      <c r="B233" s="1">
        <v>3.1578947368421</v>
      </c>
      <c r="C233" s="1">
        <v>3.3333333333333299</v>
      </c>
      <c r="D233" s="1">
        <v>3.6111111111111098</v>
      </c>
      <c r="E233" s="1">
        <v>1.94444444444444</v>
      </c>
      <c r="G233" s="1" t="s">
        <v>228</v>
      </c>
    </row>
    <row r="234" spans="1:15" ht="17" thickBot="1" x14ac:dyDescent="0.25">
      <c r="G234" s="1">
        <v>11</v>
      </c>
      <c r="H234" s="20" t="s">
        <v>45</v>
      </c>
      <c r="I234" s="21" t="s">
        <v>46</v>
      </c>
      <c r="J234" s="22" t="s">
        <v>47</v>
      </c>
      <c r="M234" s="23" t="s">
        <v>0</v>
      </c>
      <c r="O234" s="1" t="s">
        <v>5</v>
      </c>
    </row>
    <row r="235" spans="1:15" ht="17" thickBot="1" x14ac:dyDescent="0.25">
      <c r="G235" s="24" t="s">
        <v>26</v>
      </c>
      <c r="H235" s="30">
        <f>M235+4-O235</f>
        <v>32.404892921447718</v>
      </c>
      <c r="I235" s="36">
        <v>34.474709272384601</v>
      </c>
      <c r="J235" s="8">
        <f>IF(I235,I235-H235,FALSE)</f>
        <v>2.0698163509368825</v>
      </c>
      <c r="L235" s="128">
        <f>IF(J235=FALSE,20,J235)</f>
        <v>2.0698163509368825</v>
      </c>
      <c r="M235" s="25">
        <v>31.4196841716766</v>
      </c>
      <c r="O235" s="1">
        <v>3.0147912502288801</v>
      </c>
    </row>
    <row r="236" spans="1:15" x14ac:dyDescent="0.2">
      <c r="B236" s="24" t="s">
        <v>26</v>
      </c>
      <c r="C236" s="40">
        <f>H235-$M$235</f>
        <v>0.98520874977111816</v>
      </c>
      <c r="D236" s="49">
        <f>I239-H239</f>
        <v>7.6696748733519939</v>
      </c>
      <c r="E236" s="41">
        <v>1</v>
      </c>
      <c r="G236" s="26" t="s">
        <v>27</v>
      </c>
      <c r="H236" s="13">
        <f>H235+20</f>
        <v>52.404892921447718</v>
      </c>
      <c r="I236" s="1">
        <v>56.1934168338775</v>
      </c>
      <c r="J236" s="8">
        <f t="shared" ref="J236:J249" si="28">IF(I236,I236-H236,FALSE)</f>
        <v>3.7885239124297811</v>
      </c>
      <c r="L236" s="128">
        <f t="shared" ref="L236:L249" si="29">IF(J236=FALSE,20,J236)</f>
        <v>3.7885239124297811</v>
      </c>
      <c r="M236" s="25">
        <v>164.38954043388301</v>
      </c>
    </row>
    <row r="237" spans="1:15" x14ac:dyDescent="0.2">
      <c r="B237" s="26" t="s">
        <v>27</v>
      </c>
      <c r="C237" s="13">
        <f>H236-$M$235</f>
        <v>20.985208749771118</v>
      </c>
      <c r="D237" s="45">
        <f>I240-H240</f>
        <v>4.7884624004369982</v>
      </c>
      <c r="E237" s="2">
        <v>1</v>
      </c>
      <c r="G237" s="26" t="s">
        <v>13</v>
      </c>
      <c r="H237" s="13">
        <f>H236+20</f>
        <v>72.404892921447725</v>
      </c>
      <c r="I237" s="4">
        <v>77.053966760635305</v>
      </c>
      <c r="J237" s="8">
        <f t="shared" si="28"/>
        <v>4.6490738391875794</v>
      </c>
      <c r="L237" s="128">
        <f t="shared" si="29"/>
        <v>4.6490738391875794</v>
      </c>
      <c r="M237" s="25">
        <v>310.453330993652</v>
      </c>
    </row>
    <row r="238" spans="1:15" ht="17" thickBot="1" x14ac:dyDescent="0.25">
      <c r="B238" s="33" t="s">
        <v>13</v>
      </c>
      <c r="C238" s="42">
        <f>H237-$M$235</f>
        <v>40.985208749771125</v>
      </c>
      <c r="D238" s="50">
        <f>I241-H241</f>
        <v>19.794972896575985</v>
      </c>
      <c r="E238" s="43">
        <v>1</v>
      </c>
      <c r="G238" s="26" t="s">
        <v>28</v>
      </c>
      <c r="H238" s="13">
        <f>M236+4</f>
        <v>168.38954043388301</v>
      </c>
      <c r="I238" s="7">
        <v>178.00830483436499</v>
      </c>
      <c r="J238" s="8">
        <f t="shared" si="28"/>
        <v>9.6187644004819788</v>
      </c>
      <c r="L238" s="128">
        <f t="shared" si="29"/>
        <v>9.6187644004819788</v>
      </c>
      <c r="M238" s="25">
        <v>434.27031064033503</v>
      </c>
    </row>
    <row r="239" spans="1:15" ht="17" thickBot="1" x14ac:dyDescent="0.25">
      <c r="D239" s="45"/>
      <c r="G239" s="26" t="s">
        <v>29</v>
      </c>
      <c r="H239" s="13">
        <f>H238+20</f>
        <v>188.38954043388301</v>
      </c>
      <c r="I239" s="7">
        <v>196.05921530723501</v>
      </c>
      <c r="J239" s="8">
        <f t="shared" si="28"/>
        <v>7.6696748733519939</v>
      </c>
      <c r="L239" s="128">
        <f t="shared" si="29"/>
        <v>7.6696748733519939</v>
      </c>
      <c r="M239" s="29">
        <v>559.13585686683598</v>
      </c>
    </row>
    <row r="240" spans="1:15" x14ac:dyDescent="0.2">
      <c r="B240" s="24" t="s">
        <v>28</v>
      </c>
      <c r="C240" s="30">
        <f>H238-$M$236</f>
        <v>4</v>
      </c>
      <c r="D240" s="47">
        <f>I242-H242</f>
        <v>3.8913173675539952</v>
      </c>
      <c r="E240" s="32">
        <v>1</v>
      </c>
      <c r="G240" s="26" t="s">
        <v>16</v>
      </c>
      <c r="H240" s="13">
        <f>H239+20</f>
        <v>208.38954043388301</v>
      </c>
      <c r="I240" s="4">
        <v>213.17800283432001</v>
      </c>
      <c r="J240" s="8">
        <f t="shared" si="28"/>
        <v>4.7884624004369982</v>
      </c>
      <c r="L240" s="128">
        <f t="shared" si="29"/>
        <v>4.7884624004369982</v>
      </c>
    </row>
    <row r="241" spans="1:13" x14ac:dyDescent="0.2">
      <c r="B241" s="26" t="s">
        <v>29</v>
      </c>
      <c r="C241" s="13">
        <f>H239-$M$236</f>
        <v>24</v>
      </c>
      <c r="D241" s="45">
        <f>I243-H243</f>
        <v>3.5037875175469821</v>
      </c>
      <c r="E241" s="2">
        <v>1</v>
      </c>
      <c r="G241" s="26" t="s">
        <v>30</v>
      </c>
      <c r="H241" s="13">
        <f>M237+4</f>
        <v>314.453330993652</v>
      </c>
      <c r="I241" s="1">
        <v>334.24830389022799</v>
      </c>
      <c r="J241" s="8">
        <f t="shared" si="28"/>
        <v>19.794972896575985</v>
      </c>
      <c r="L241" s="128">
        <f t="shared" si="29"/>
        <v>19.794972896575985</v>
      </c>
    </row>
    <row r="242" spans="1:13" ht="17" thickBot="1" x14ac:dyDescent="0.25">
      <c r="B242" s="33" t="s">
        <v>16</v>
      </c>
      <c r="C242" s="42">
        <f>H240-$M$236</f>
        <v>44</v>
      </c>
      <c r="D242" s="50">
        <f>I244-H244</f>
        <v>7.1348941326139652</v>
      </c>
      <c r="E242" s="43">
        <v>1</v>
      </c>
      <c r="G242" s="26" t="s">
        <v>31</v>
      </c>
      <c r="H242" s="13">
        <f>H241+20</f>
        <v>334.453330993652</v>
      </c>
      <c r="I242" s="1">
        <v>338.344648361206</v>
      </c>
      <c r="J242" s="8">
        <f t="shared" si="28"/>
        <v>3.8913173675539952</v>
      </c>
      <c r="L242" s="128">
        <f t="shared" si="29"/>
        <v>3.8913173675539952</v>
      </c>
    </row>
    <row r="243" spans="1:13" ht="17" thickBot="1" x14ac:dyDescent="0.25">
      <c r="D243" s="45"/>
      <c r="G243" s="26" t="s">
        <v>19</v>
      </c>
      <c r="H243" s="13">
        <f>H242+20</f>
        <v>354.453330993652</v>
      </c>
      <c r="I243" s="4">
        <v>357.95711851119898</v>
      </c>
      <c r="J243" s="8">
        <f t="shared" si="28"/>
        <v>3.5037875175469821</v>
      </c>
      <c r="L243" s="128">
        <f t="shared" si="29"/>
        <v>3.5037875175469821</v>
      </c>
      <c r="M243" s="118" t="s">
        <v>222</v>
      </c>
    </row>
    <row r="244" spans="1:13" x14ac:dyDescent="0.2">
      <c r="B244" s="24" t="s">
        <v>30</v>
      </c>
      <c r="C244" s="31">
        <f>H241-$M$237</f>
        <v>4</v>
      </c>
      <c r="D244" s="47">
        <f>I241-$H$241</f>
        <v>19.794972896575985</v>
      </c>
      <c r="E244" s="32">
        <v>1</v>
      </c>
      <c r="G244" s="26" t="s">
        <v>32</v>
      </c>
      <c r="H244" s="13">
        <f>M238+4</f>
        <v>438.27031064033503</v>
      </c>
      <c r="I244" s="1">
        <v>445.40520477294899</v>
      </c>
      <c r="J244" s="8">
        <f t="shared" si="28"/>
        <v>7.1348941326139652</v>
      </c>
      <c r="L244" s="128">
        <f t="shared" si="29"/>
        <v>7.1348941326139652</v>
      </c>
      <c r="M244" s="118">
        <v>0.8</v>
      </c>
    </row>
    <row r="245" spans="1:13" x14ac:dyDescent="0.2">
      <c r="B245" s="26" t="s">
        <v>31</v>
      </c>
      <c r="C245" s="1">
        <f>H242-$M$237</f>
        <v>24</v>
      </c>
      <c r="D245" s="45">
        <f>I242-$H$242</f>
        <v>3.8913173675539952</v>
      </c>
      <c r="E245" s="2">
        <v>1</v>
      </c>
      <c r="G245" s="26" t="s">
        <v>22</v>
      </c>
      <c r="H245" s="13">
        <f>H244+20</f>
        <v>458.27031064033503</v>
      </c>
      <c r="I245" s="17" t="b">
        <f>FALSE</f>
        <v>0</v>
      </c>
      <c r="J245" s="8" t="b">
        <f t="shared" si="28"/>
        <v>0</v>
      </c>
      <c r="L245" s="128">
        <f t="shared" si="29"/>
        <v>20</v>
      </c>
    </row>
    <row r="246" spans="1:13" ht="17" thickBot="1" x14ac:dyDescent="0.25">
      <c r="B246" s="33" t="s">
        <v>19</v>
      </c>
      <c r="C246" s="15">
        <f>H243-$M$237</f>
        <v>44</v>
      </c>
      <c r="D246" s="50">
        <f>I243-$H$243</f>
        <v>3.5037875175469821</v>
      </c>
      <c r="E246" s="43">
        <v>1</v>
      </c>
      <c r="G246" s="26" t="s">
        <v>33</v>
      </c>
      <c r="H246" s="13">
        <f>H245+20</f>
        <v>478.27031064033503</v>
      </c>
      <c r="I246" s="1">
        <v>492.11690926551802</v>
      </c>
      <c r="J246" s="8">
        <f t="shared" si="28"/>
        <v>13.846598625182992</v>
      </c>
      <c r="L246" s="128">
        <f t="shared" si="29"/>
        <v>13.846598625182992</v>
      </c>
    </row>
    <row r="247" spans="1:13" ht="17" thickBot="1" x14ac:dyDescent="0.25">
      <c r="D247" s="45"/>
      <c r="G247" s="26" t="s">
        <v>34</v>
      </c>
      <c r="H247" s="13">
        <f>M239+4</f>
        <v>563.13585686683598</v>
      </c>
      <c r="I247" s="1">
        <v>567.18008732795704</v>
      </c>
      <c r="J247" s="8">
        <f t="shared" si="28"/>
        <v>4.0442304611210602</v>
      </c>
      <c r="L247" s="128">
        <f t="shared" si="29"/>
        <v>4.0442304611210602</v>
      </c>
    </row>
    <row r="248" spans="1:13" x14ac:dyDescent="0.2">
      <c r="B248" s="24" t="s">
        <v>32</v>
      </c>
      <c r="C248" s="31">
        <f>H244-$M$238</f>
        <v>4</v>
      </c>
      <c r="D248" s="47">
        <f>I244-H244</f>
        <v>7.1348941326139652</v>
      </c>
      <c r="E248" s="32">
        <v>1</v>
      </c>
      <c r="G248" s="26" t="s">
        <v>35</v>
      </c>
      <c r="H248" s="13">
        <f>H247+20</f>
        <v>583.13585686683598</v>
      </c>
      <c r="I248" s="1">
        <v>595.74078845977704</v>
      </c>
      <c r="J248" s="8">
        <f t="shared" si="28"/>
        <v>12.604931592941057</v>
      </c>
      <c r="L248" s="128">
        <f t="shared" si="29"/>
        <v>12.604931592941057</v>
      </c>
    </row>
    <row r="249" spans="1:13" ht="17" thickBot="1" x14ac:dyDescent="0.25">
      <c r="B249" s="33" t="s">
        <v>33</v>
      </c>
      <c r="C249" s="19">
        <f>H246-$M$238</f>
        <v>44</v>
      </c>
      <c r="D249" s="46">
        <f>I246-H246</f>
        <v>13.846598625182992</v>
      </c>
      <c r="E249" s="16">
        <v>1</v>
      </c>
      <c r="G249" s="33" t="s">
        <v>36</v>
      </c>
      <c r="H249" s="14">
        <f>H248+20</f>
        <v>603.13585686683598</v>
      </c>
      <c r="I249" s="19">
        <v>619.81961226463295</v>
      </c>
      <c r="J249" s="8">
        <f t="shared" si="28"/>
        <v>16.683755397796972</v>
      </c>
      <c r="L249" s="128">
        <f t="shared" si="29"/>
        <v>16.683755397796972</v>
      </c>
    </row>
    <row r="250" spans="1:13" ht="17" thickBot="1" x14ac:dyDescent="0.25">
      <c r="D250" s="45"/>
      <c r="H250" s="1" t="s">
        <v>53</v>
      </c>
      <c r="I250" s="1">
        <v>4</v>
      </c>
      <c r="L250" s="128">
        <f>AVERAGE(L237:L249)</f>
        <v>9.8638818080608885</v>
      </c>
    </row>
    <row r="251" spans="1:13" x14ac:dyDescent="0.2">
      <c r="B251" s="24" t="s">
        <v>34</v>
      </c>
      <c r="C251" s="31">
        <f>H247-$M$239</f>
        <v>4</v>
      </c>
      <c r="D251" s="47">
        <f>I247-$H$247</f>
        <v>4.0442304611210602</v>
      </c>
      <c r="E251" s="32">
        <v>1</v>
      </c>
    </row>
    <row r="252" spans="1:13" x14ac:dyDescent="0.2">
      <c r="B252" s="26" t="s">
        <v>35</v>
      </c>
      <c r="C252" s="1">
        <f>H248-$M$239</f>
        <v>24</v>
      </c>
      <c r="D252" s="45">
        <f>I248-$H$248</f>
        <v>12.604931592941057</v>
      </c>
      <c r="E252" s="2">
        <v>1</v>
      </c>
    </row>
    <row r="253" spans="1:13" ht="17" thickBot="1" x14ac:dyDescent="0.25">
      <c r="B253" s="33" t="s">
        <v>36</v>
      </c>
      <c r="C253" s="15">
        <f>H249-$M$239</f>
        <v>44</v>
      </c>
      <c r="D253" s="50">
        <f>I249-$H$249</f>
        <v>16.683755397796972</v>
      </c>
      <c r="E253" s="43">
        <v>1</v>
      </c>
      <c r="F253" s="1" t="s">
        <v>220</v>
      </c>
    </row>
    <row r="256" spans="1:13" x14ac:dyDescent="0.2">
      <c r="A256" s="1" t="s">
        <v>70</v>
      </c>
      <c r="B256" s="1" t="s">
        <v>41</v>
      </c>
      <c r="C256" s="1" t="s">
        <v>2</v>
      </c>
    </row>
    <row r="257" spans="1:15" x14ac:dyDescent="0.2">
      <c r="C257" s="1" t="s">
        <v>3</v>
      </c>
    </row>
    <row r="259" spans="1:15" ht="20" customHeight="1" x14ac:dyDescent="0.2">
      <c r="A259" s="1" t="s">
        <v>169</v>
      </c>
      <c r="B259" s="1" t="s">
        <v>170</v>
      </c>
      <c r="C259" s="1" t="s">
        <v>171</v>
      </c>
      <c r="D259" s="1" t="s">
        <v>172</v>
      </c>
      <c r="E259" s="1" t="s">
        <v>173</v>
      </c>
    </row>
    <row r="260" spans="1:15" ht="17" thickBot="1" x14ac:dyDescent="0.25">
      <c r="A260" s="1">
        <v>3.05555555555555</v>
      </c>
      <c r="B260" s="1">
        <v>2.5657894736842102</v>
      </c>
      <c r="C260" s="1">
        <v>1.4166666666666601</v>
      </c>
      <c r="D260" s="1">
        <v>2.5</v>
      </c>
      <c r="E260" s="1">
        <v>2.2222222222222201</v>
      </c>
      <c r="F260" s="3" t="s">
        <v>94</v>
      </c>
    </row>
    <row r="261" spans="1:15" ht="17" thickBot="1" x14ac:dyDescent="0.25">
      <c r="G261" s="1">
        <v>12</v>
      </c>
      <c r="H261" s="20" t="s">
        <v>45</v>
      </c>
      <c r="I261" s="21" t="s">
        <v>46</v>
      </c>
      <c r="J261" s="22" t="s">
        <v>47</v>
      </c>
      <c r="M261" s="23" t="s">
        <v>0</v>
      </c>
      <c r="O261" s="1" t="s">
        <v>5</v>
      </c>
    </row>
    <row r="262" spans="1:15" ht="17" thickBot="1" x14ac:dyDescent="0.25">
      <c r="G262" s="24" t="s">
        <v>26</v>
      </c>
      <c r="H262" s="30">
        <f>M262+4-O262</f>
        <v>30.120259046554484</v>
      </c>
      <c r="I262" s="36">
        <v>31.739867210388098</v>
      </c>
      <c r="J262" s="8">
        <f>IF(I262,I262-H262,FALSE)</f>
        <v>1.6196081638336146</v>
      </c>
      <c r="L262" s="128">
        <f>IF(J262=FALSE,20,J262)</f>
        <v>1.6196081638336146</v>
      </c>
      <c r="M262" s="25">
        <v>29.134259223937899</v>
      </c>
      <c r="O262" s="1">
        <v>3.0140001773834202</v>
      </c>
    </row>
    <row r="263" spans="1:15" ht="17" thickBot="1" x14ac:dyDescent="0.25">
      <c r="B263" s="24" t="s">
        <v>26</v>
      </c>
      <c r="C263" s="40">
        <f>H262-M262</f>
        <v>0.98599982261658425</v>
      </c>
      <c r="D263" s="49">
        <f>I262-H262</f>
        <v>1.6196081638336146</v>
      </c>
      <c r="E263" s="41">
        <v>1</v>
      </c>
      <c r="G263" s="26" t="s">
        <v>27</v>
      </c>
      <c r="H263" s="13">
        <f>H262+20</f>
        <v>50.12025904655448</v>
      </c>
      <c r="I263" s="1">
        <v>51.478246688842702</v>
      </c>
      <c r="J263" s="8">
        <f t="shared" ref="J263:J276" si="30">IF(I263,I263-H263,FALSE)</f>
        <v>1.3579876422882222</v>
      </c>
      <c r="L263" s="128">
        <f t="shared" ref="L263:L276" si="31">IF(J263=FALSE,20,J263)</f>
        <v>1.3579876422882222</v>
      </c>
      <c r="M263" s="25">
        <v>185.13568949699399</v>
      </c>
    </row>
    <row r="264" spans="1:15" ht="17" thickBot="1" x14ac:dyDescent="0.25">
      <c r="B264" s="26" t="s">
        <v>27</v>
      </c>
      <c r="C264" s="13">
        <f>C263+20</f>
        <v>20.985999822616584</v>
      </c>
      <c r="D264" s="49">
        <f t="shared" ref="D264:D265" si="32">I263-H263</f>
        <v>1.3579876422882222</v>
      </c>
      <c r="E264" s="2">
        <v>1</v>
      </c>
      <c r="G264" s="26" t="s">
        <v>13</v>
      </c>
      <c r="H264" s="13">
        <f>H263+20</f>
        <v>70.12025904655448</v>
      </c>
      <c r="I264" s="4">
        <v>71.932688951492295</v>
      </c>
      <c r="J264" s="8">
        <f t="shared" si="30"/>
        <v>1.8124299049378152</v>
      </c>
      <c r="L264" s="128">
        <f t="shared" si="31"/>
        <v>1.8124299049378152</v>
      </c>
      <c r="M264" s="25">
        <v>297.734725475311</v>
      </c>
    </row>
    <row r="265" spans="1:15" ht="17" thickBot="1" x14ac:dyDescent="0.25">
      <c r="B265" s="26" t="s">
        <v>13</v>
      </c>
      <c r="C265" s="13">
        <f>C264+20</f>
        <v>40.985999822616584</v>
      </c>
      <c r="D265" s="49">
        <f t="shared" si="32"/>
        <v>1.8124299049378152</v>
      </c>
      <c r="E265" s="43">
        <v>1</v>
      </c>
      <c r="G265" s="26" t="s">
        <v>28</v>
      </c>
      <c r="H265" s="13">
        <f>M263+4</f>
        <v>189.13568949699399</v>
      </c>
      <c r="I265" s="7">
        <v>195.31851196289</v>
      </c>
      <c r="J265" s="8">
        <f t="shared" si="30"/>
        <v>6.1828224658960096</v>
      </c>
      <c r="L265" s="128">
        <f t="shared" si="31"/>
        <v>6.1828224658960096</v>
      </c>
      <c r="M265" s="25">
        <v>410.29212570190401</v>
      </c>
    </row>
    <row r="266" spans="1:15" ht="17" thickBot="1" x14ac:dyDescent="0.25">
      <c r="D266" s="45"/>
      <c r="G266" s="26" t="s">
        <v>29</v>
      </c>
      <c r="H266" s="13">
        <f>H265+20</f>
        <v>209.13568949699399</v>
      </c>
      <c r="I266" s="7">
        <v>212.21417927741999</v>
      </c>
      <c r="J266" s="8">
        <f t="shared" si="30"/>
        <v>3.078489780425997</v>
      </c>
      <c r="L266" s="128">
        <f t="shared" si="31"/>
        <v>3.078489780425997</v>
      </c>
      <c r="M266" s="29">
        <v>533.30037140846196</v>
      </c>
    </row>
    <row r="267" spans="1:15" ht="17" thickBot="1" x14ac:dyDescent="0.25">
      <c r="B267" s="26" t="s">
        <v>28</v>
      </c>
      <c r="C267" s="30">
        <v>4</v>
      </c>
      <c r="D267" s="47">
        <f>I265-H265</f>
        <v>6.1828224658960096</v>
      </c>
      <c r="E267" s="32">
        <v>1</v>
      </c>
      <c r="G267" s="26" t="s">
        <v>16</v>
      </c>
      <c r="H267" s="13">
        <f>H266+20</f>
        <v>229.13568949699399</v>
      </c>
      <c r="I267" s="4">
        <v>231.16128563880901</v>
      </c>
      <c r="J267" s="8">
        <f t="shared" si="30"/>
        <v>2.025596141815015</v>
      </c>
      <c r="L267" s="128">
        <f t="shared" si="31"/>
        <v>2.025596141815015</v>
      </c>
    </row>
    <row r="268" spans="1:15" ht="17" thickBot="1" x14ac:dyDescent="0.25">
      <c r="B268" s="26" t="s">
        <v>29</v>
      </c>
      <c r="C268" s="13">
        <v>24</v>
      </c>
      <c r="D268" s="47">
        <f t="shared" ref="D268:D269" si="33">I266-H266</f>
        <v>3.078489780425997</v>
      </c>
      <c r="E268" s="2">
        <v>1</v>
      </c>
      <c r="G268" s="26" t="s">
        <v>30</v>
      </c>
      <c r="H268" s="13">
        <f>M264+4</f>
        <v>301.734725475311</v>
      </c>
      <c r="I268" s="1">
        <v>307.30777001380898</v>
      </c>
      <c r="J268" s="8">
        <f t="shared" si="30"/>
        <v>5.5730445384979816</v>
      </c>
      <c r="L268" s="128">
        <f t="shared" si="31"/>
        <v>5.5730445384979816</v>
      </c>
    </row>
    <row r="269" spans="1:15" ht="17" thickBot="1" x14ac:dyDescent="0.25">
      <c r="B269" s="26" t="s">
        <v>16</v>
      </c>
      <c r="C269" s="42">
        <v>44</v>
      </c>
      <c r="D269" s="47">
        <f t="shared" si="33"/>
        <v>2.025596141815015</v>
      </c>
      <c r="E269" s="43">
        <v>1</v>
      </c>
      <c r="G269" s="26" t="s">
        <v>31</v>
      </c>
      <c r="H269" s="13">
        <f>H268+20</f>
        <v>321.734725475311</v>
      </c>
      <c r="I269" s="1">
        <v>326.63719034194901</v>
      </c>
      <c r="J269" s="8">
        <f t="shared" si="30"/>
        <v>4.9024648666380131</v>
      </c>
      <c r="L269" s="128">
        <f t="shared" si="31"/>
        <v>4.9024648666380131</v>
      </c>
    </row>
    <row r="270" spans="1:15" ht="17" thickBot="1" x14ac:dyDescent="0.25">
      <c r="D270" s="45"/>
      <c r="G270" s="26" t="s">
        <v>19</v>
      </c>
      <c r="H270" s="13">
        <f>H269+20</f>
        <v>341.734725475311</v>
      </c>
      <c r="I270" s="4">
        <v>343.51863741874598</v>
      </c>
      <c r="J270" s="8">
        <f t="shared" si="30"/>
        <v>1.7839119434349868</v>
      </c>
      <c r="L270" s="128">
        <f t="shared" si="31"/>
        <v>1.7839119434349868</v>
      </c>
      <c r="M270" s="118" t="s">
        <v>222</v>
      </c>
    </row>
    <row r="271" spans="1:15" ht="17" thickBot="1" x14ac:dyDescent="0.25">
      <c r="B271" s="26" t="s">
        <v>30</v>
      </c>
      <c r="C271" s="31">
        <v>4</v>
      </c>
      <c r="D271" s="47">
        <f>I268-H268</f>
        <v>5.5730445384979816</v>
      </c>
      <c r="E271" s="32">
        <v>1</v>
      </c>
      <c r="F271" s="3" t="s">
        <v>102</v>
      </c>
      <c r="G271" s="26" t="s">
        <v>32</v>
      </c>
      <c r="H271" s="13">
        <f>M265+4</f>
        <v>414.29212570190401</v>
      </c>
      <c r="I271" s="1">
        <v>421.65384769439697</v>
      </c>
      <c r="J271" s="8">
        <f t="shared" si="30"/>
        <v>7.36172199249296</v>
      </c>
      <c r="L271" s="128">
        <f t="shared" si="31"/>
        <v>7.36172199249296</v>
      </c>
      <c r="M271" s="118">
        <v>0.8</v>
      </c>
    </row>
    <row r="272" spans="1:15" ht="17" thickBot="1" x14ac:dyDescent="0.25">
      <c r="B272" s="26" t="s">
        <v>31</v>
      </c>
      <c r="C272" s="1">
        <v>24</v>
      </c>
      <c r="D272" s="47">
        <f t="shared" ref="D272:D273" si="34">I269-H269</f>
        <v>4.9024648666380131</v>
      </c>
      <c r="E272" s="2">
        <v>1</v>
      </c>
      <c r="G272" s="26" t="s">
        <v>22</v>
      </c>
      <c r="H272" s="13">
        <f>H271+20</f>
        <v>434.29212570190401</v>
      </c>
      <c r="I272" s="17" t="b">
        <f>FALSE</f>
        <v>0</v>
      </c>
      <c r="J272" s="8" t="b">
        <f t="shared" si="30"/>
        <v>0</v>
      </c>
      <c r="L272" s="128">
        <f t="shared" si="31"/>
        <v>20</v>
      </c>
    </row>
    <row r="273" spans="1:15" ht="17" thickBot="1" x14ac:dyDescent="0.25">
      <c r="B273" s="26" t="s">
        <v>19</v>
      </c>
      <c r="C273" s="15">
        <v>44</v>
      </c>
      <c r="D273" s="47">
        <f t="shared" si="34"/>
        <v>1.7839119434349868</v>
      </c>
      <c r="E273" s="43">
        <v>1</v>
      </c>
      <c r="G273" s="26" t="s">
        <v>33</v>
      </c>
      <c r="H273" s="13">
        <f>H272+20</f>
        <v>454.29212570190401</v>
      </c>
      <c r="I273" s="1">
        <v>459.419289588928</v>
      </c>
      <c r="J273" s="8">
        <f t="shared" si="30"/>
        <v>5.1271638870239826</v>
      </c>
      <c r="L273" s="128">
        <f t="shared" si="31"/>
        <v>5.1271638870239826</v>
      </c>
    </row>
    <row r="274" spans="1:15" ht="17" thickBot="1" x14ac:dyDescent="0.25">
      <c r="D274" s="45"/>
      <c r="G274" s="26" t="s">
        <v>34</v>
      </c>
      <c r="H274" s="13">
        <f>M266+4</f>
        <v>537.30037140846196</v>
      </c>
      <c r="I274" s="1">
        <v>539.33937215804997</v>
      </c>
      <c r="J274" s="8">
        <f t="shared" si="30"/>
        <v>2.0390007495880127</v>
      </c>
      <c r="L274" s="128">
        <f t="shared" si="31"/>
        <v>2.0390007495880127</v>
      </c>
    </row>
    <row r="275" spans="1:15" ht="17" thickBot="1" x14ac:dyDescent="0.25">
      <c r="B275" s="26" t="s">
        <v>32</v>
      </c>
      <c r="C275" s="31">
        <v>4</v>
      </c>
      <c r="D275" s="47">
        <f>I271-H271</f>
        <v>7.36172199249296</v>
      </c>
      <c r="E275" s="32">
        <v>1</v>
      </c>
      <c r="G275" s="26" t="s">
        <v>35</v>
      </c>
      <c r="H275" s="13">
        <f>H274+20</f>
        <v>557.30037140846196</v>
      </c>
      <c r="I275" s="1">
        <v>568.34497094154301</v>
      </c>
      <c r="J275" s="8">
        <f t="shared" si="30"/>
        <v>11.044599533081055</v>
      </c>
      <c r="L275" s="128">
        <f t="shared" si="31"/>
        <v>11.044599533081055</v>
      </c>
    </row>
    <row r="276" spans="1:15" ht="17" thickBot="1" x14ac:dyDescent="0.25">
      <c r="B276" s="35" t="s">
        <v>22</v>
      </c>
      <c r="C276" s="31">
        <v>24</v>
      </c>
      <c r="D276" s="47"/>
      <c r="E276" s="32">
        <v>0</v>
      </c>
      <c r="G276" s="33" t="s">
        <v>36</v>
      </c>
      <c r="H276" s="14">
        <f>H275+20</f>
        <v>577.30037140846196</v>
      </c>
      <c r="I276" s="7" t="b">
        <f>FALSE</f>
        <v>0</v>
      </c>
      <c r="J276" s="8" t="b">
        <f t="shared" si="30"/>
        <v>0</v>
      </c>
      <c r="L276" s="128">
        <f t="shared" si="31"/>
        <v>20</v>
      </c>
    </row>
    <row r="277" spans="1:15" ht="17" thickBot="1" x14ac:dyDescent="0.25">
      <c r="B277" s="26" t="s">
        <v>33</v>
      </c>
      <c r="C277" s="19">
        <v>44</v>
      </c>
      <c r="D277" s="46">
        <f>I273-H273</f>
        <v>5.1271638870239826</v>
      </c>
      <c r="E277" s="16">
        <v>0</v>
      </c>
      <c r="H277" s="1" t="s">
        <v>53</v>
      </c>
      <c r="I277" s="1">
        <v>4</v>
      </c>
      <c r="L277" s="128">
        <f>AVERAGE(L264:L276)</f>
        <v>6.9947112156793718</v>
      </c>
    </row>
    <row r="278" spans="1:15" ht="17" thickBot="1" x14ac:dyDescent="0.25">
      <c r="D278" s="45"/>
    </row>
    <row r="279" spans="1:15" ht="17" thickBot="1" x14ac:dyDescent="0.25">
      <c r="B279" s="26" t="s">
        <v>34</v>
      </c>
      <c r="C279" s="31">
        <v>4</v>
      </c>
      <c r="D279" s="47">
        <f>I274-H274</f>
        <v>2.0390007495880127</v>
      </c>
      <c r="E279" s="32">
        <v>1</v>
      </c>
    </row>
    <row r="280" spans="1:15" x14ac:dyDescent="0.2">
      <c r="B280" s="26" t="s">
        <v>35</v>
      </c>
      <c r="C280" s="1">
        <v>24</v>
      </c>
      <c r="D280" s="47">
        <f>I275-H275</f>
        <v>11.044599533081055</v>
      </c>
      <c r="E280" s="2">
        <v>1</v>
      </c>
    </row>
    <row r="281" spans="1:15" ht="17" thickBot="1" x14ac:dyDescent="0.25">
      <c r="B281" s="125" t="s">
        <v>36</v>
      </c>
      <c r="C281" s="19">
        <v>44</v>
      </c>
      <c r="D281" s="50"/>
      <c r="E281" s="43">
        <v>0</v>
      </c>
    </row>
    <row r="283" spans="1:15" x14ac:dyDescent="0.2">
      <c r="A283" s="1" t="s">
        <v>71</v>
      </c>
      <c r="B283" s="1" t="s">
        <v>41</v>
      </c>
      <c r="C283" s="1" t="s">
        <v>2</v>
      </c>
    </row>
    <row r="284" spans="1:15" x14ac:dyDescent="0.2">
      <c r="C284" s="1" t="s">
        <v>3</v>
      </c>
    </row>
    <row r="286" spans="1:15" ht="20" customHeight="1" x14ac:dyDescent="0.2">
      <c r="A286" s="1" t="s">
        <v>169</v>
      </c>
      <c r="B286" s="1" t="s">
        <v>170</v>
      </c>
      <c r="C286" s="1" t="s">
        <v>171</v>
      </c>
      <c r="D286" s="1" t="s">
        <v>172</v>
      </c>
      <c r="E286" s="1" t="s">
        <v>173</v>
      </c>
    </row>
    <row r="287" spans="1:15" ht="17" thickBot="1" x14ac:dyDescent="0.25">
      <c r="A287" s="1">
        <v>3.88888888888888</v>
      </c>
      <c r="B287" s="1">
        <v>3.48684210526315</v>
      </c>
      <c r="C287" s="1">
        <v>1.75</v>
      </c>
      <c r="D287" s="1">
        <v>3.3333333333333299</v>
      </c>
      <c r="E287" s="1">
        <v>3.05555555555555</v>
      </c>
    </row>
    <row r="288" spans="1:15" ht="17" thickBot="1" x14ac:dyDescent="0.25">
      <c r="G288" s="1">
        <v>13</v>
      </c>
      <c r="H288" s="20" t="s">
        <v>45</v>
      </c>
      <c r="I288" s="21" t="s">
        <v>46</v>
      </c>
      <c r="J288" s="22" t="s">
        <v>47</v>
      </c>
      <c r="M288" s="23" t="s">
        <v>0</v>
      </c>
      <c r="O288" s="1" t="s">
        <v>5</v>
      </c>
    </row>
    <row r="289" spans="2:15" ht="17" thickBot="1" x14ac:dyDescent="0.25">
      <c r="F289" s="3" t="s">
        <v>103</v>
      </c>
      <c r="G289" s="24" t="s">
        <v>26</v>
      </c>
      <c r="H289" s="30">
        <f>M289+4-O289</f>
        <v>14.991472244262692</v>
      </c>
      <c r="I289" s="36">
        <v>17.2989370822906</v>
      </c>
      <c r="J289" s="8">
        <f>IF(I289,I289-H289,FALSE)</f>
        <v>2.3074648380279079</v>
      </c>
      <c r="L289" s="128">
        <f>IF(J289=FALSE,20,J289)</f>
        <v>2.3074648380279079</v>
      </c>
      <c r="M289" s="25">
        <v>14.002699136734</v>
      </c>
      <c r="O289" s="1">
        <v>3.0112268924713099</v>
      </c>
    </row>
    <row r="290" spans="2:15" ht="17" thickBot="1" x14ac:dyDescent="0.25">
      <c r="B290" s="24" t="s">
        <v>26</v>
      </c>
      <c r="C290" s="40">
        <f>H289-M289</f>
        <v>0.98877310752869185</v>
      </c>
      <c r="D290" s="49">
        <f>I289-H289</f>
        <v>2.3074648380279079</v>
      </c>
      <c r="E290" s="41"/>
      <c r="F290" s="3" t="s">
        <v>104</v>
      </c>
      <c r="G290" s="26" t="s">
        <v>27</v>
      </c>
      <c r="H290" s="13">
        <f>H289+20</f>
        <v>34.991472244262695</v>
      </c>
      <c r="I290" s="1">
        <v>39.153902769088702</v>
      </c>
      <c r="J290" s="8">
        <f t="shared" ref="J290:J303" si="35">IF(I290,I290-H290,FALSE)</f>
        <v>4.1624305248260072</v>
      </c>
      <c r="L290" s="128">
        <f t="shared" ref="L290:L303" si="36">IF(J290=FALSE,20,J290)</f>
        <v>4.1624305248260072</v>
      </c>
      <c r="M290" s="25">
        <v>158.946162939071</v>
      </c>
    </row>
    <row r="291" spans="2:15" ht="17" thickBot="1" x14ac:dyDescent="0.25">
      <c r="B291" s="26" t="s">
        <v>27</v>
      </c>
      <c r="C291" s="13">
        <f>C290+20</f>
        <v>20.988773107528694</v>
      </c>
      <c r="D291" s="49">
        <f t="shared" ref="D291:D292" si="37">I290-H290</f>
        <v>4.1624305248260072</v>
      </c>
      <c r="E291" s="2"/>
      <c r="F291" s="3" t="s">
        <v>104</v>
      </c>
      <c r="G291" s="26" t="s">
        <v>13</v>
      </c>
      <c r="H291" s="13">
        <f>H290+20</f>
        <v>54.991472244262695</v>
      </c>
      <c r="I291" s="4">
        <v>61.714336872100802</v>
      </c>
      <c r="J291" s="8">
        <f t="shared" si="35"/>
        <v>6.7228646278381063</v>
      </c>
      <c r="L291" s="128">
        <f t="shared" si="36"/>
        <v>6.7228646278381063</v>
      </c>
      <c r="M291" s="25">
        <v>279.19144201278601</v>
      </c>
    </row>
    <row r="292" spans="2:15" ht="17" thickBot="1" x14ac:dyDescent="0.25">
      <c r="B292" s="26" t="s">
        <v>13</v>
      </c>
      <c r="C292" s="42">
        <f>C291+20</f>
        <v>40.988773107528694</v>
      </c>
      <c r="D292" s="49">
        <f t="shared" si="37"/>
        <v>6.7228646278381063</v>
      </c>
      <c r="E292" s="43"/>
      <c r="F292" s="3" t="s">
        <v>104</v>
      </c>
      <c r="G292" s="26" t="s">
        <v>28</v>
      </c>
      <c r="H292" s="13">
        <f>M290+4</f>
        <v>162.946162939071</v>
      </c>
      <c r="I292" s="7">
        <v>174.48357439041101</v>
      </c>
      <c r="J292" s="8">
        <f t="shared" si="35"/>
        <v>11.537411451340006</v>
      </c>
      <c r="L292" s="128">
        <f t="shared" si="36"/>
        <v>11.537411451340006</v>
      </c>
      <c r="M292" s="25">
        <v>401.94248986244202</v>
      </c>
    </row>
    <row r="293" spans="2:15" ht="17" thickBot="1" x14ac:dyDescent="0.25">
      <c r="D293" s="45"/>
      <c r="G293" s="26" t="s">
        <v>29</v>
      </c>
      <c r="H293" s="13">
        <f>H292+20</f>
        <v>182.946162939071</v>
      </c>
      <c r="I293" s="8" t="b">
        <v>0</v>
      </c>
      <c r="J293" s="8" t="b">
        <f t="shared" si="35"/>
        <v>0</v>
      </c>
      <c r="L293" s="128">
        <f t="shared" si="36"/>
        <v>20</v>
      </c>
      <c r="M293" s="29">
        <v>533.30037140846196</v>
      </c>
    </row>
    <row r="294" spans="2:15" x14ac:dyDescent="0.2">
      <c r="B294" s="26" t="s">
        <v>28</v>
      </c>
      <c r="C294" s="30">
        <v>4</v>
      </c>
      <c r="D294" s="47">
        <f>I292-H292</f>
        <v>11.537411451340006</v>
      </c>
      <c r="E294" s="32"/>
      <c r="G294" s="26" t="s">
        <v>16</v>
      </c>
      <c r="H294" s="13">
        <f>H293+20</f>
        <v>202.946162939071</v>
      </c>
      <c r="I294" s="17" t="b">
        <f>FALSE</f>
        <v>0</v>
      </c>
      <c r="J294" s="8" t="b">
        <f t="shared" si="35"/>
        <v>0</v>
      </c>
      <c r="L294" s="128">
        <f t="shared" si="36"/>
        <v>20</v>
      </c>
    </row>
    <row r="295" spans="2:15" x14ac:dyDescent="0.2">
      <c r="B295" s="26" t="s">
        <v>29</v>
      </c>
      <c r="C295" s="13">
        <v>24</v>
      </c>
      <c r="D295" s="45">
        <v>20</v>
      </c>
      <c r="E295" s="2"/>
      <c r="G295" s="26" t="s">
        <v>30</v>
      </c>
      <c r="H295" s="13">
        <f>M291+4</f>
        <v>283.19144201278601</v>
      </c>
      <c r="I295" s="8" t="b">
        <v>0</v>
      </c>
      <c r="J295" s="8" t="b">
        <f t="shared" si="35"/>
        <v>0</v>
      </c>
      <c r="L295" s="128">
        <f t="shared" si="36"/>
        <v>20</v>
      </c>
    </row>
    <row r="296" spans="2:15" ht="17" thickBot="1" x14ac:dyDescent="0.25">
      <c r="B296" s="26" t="s">
        <v>16</v>
      </c>
      <c r="C296" s="42">
        <v>44</v>
      </c>
      <c r="D296" s="50">
        <v>20</v>
      </c>
      <c r="E296" s="43"/>
      <c r="G296" s="26" t="s">
        <v>31</v>
      </c>
      <c r="H296" s="13">
        <f>H295+20</f>
        <v>303.19144201278601</v>
      </c>
      <c r="I296" s="1">
        <v>312.019419431686</v>
      </c>
      <c r="J296" s="8">
        <f t="shared" si="35"/>
        <v>8.8279774188999909</v>
      </c>
      <c r="L296" s="128">
        <f t="shared" si="36"/>
        <v>8.8279774188999909</v>
      </c>
    </row>
    <row r="297" spans="2:15" ht="17" thickBot="1" x14ac:dyDescent="0.25">
      <c r="D297" s="45"/>
      <c r="G297" s="26" t="s">
        <v>19</v>
      </c>
      <c r="H297" s="13">
        <f>H296+20</f>
        <v>323.19144201278601</v>
      </c>
      <c r="I297" s="4">
        <v>325.62417006492598</v>
      </c>
      <c r="J297" s="8">
        <f t="shared" si="35"/>
        <v>2.4327280521399643</v>
      </c>
      <c r="L297" s="128">
        <f t="shared" si="36"/>
        <v>2.4327280521399643</v>
      </c>
      <c r="M297" s="118" t="s">
        <v>222</v>
      </c>
    </row>
    <row r="298" spans="2:15" x14ac:dyDescent="0.2">
      <c r="B298" s="26" t="s">
        <v>30</v>
      </c>
      <c r="C298" s="31">
        <v>4</v>
      </c>
      <c r="D298" s="47">
        <v>20</v>
      </c>
      <c r="E298" s="32"/>
      <c r="G298" s="26" t="s">
        <v>32</v>
      </c>
      <c r="H298" s="13">
        <f>M292+4</f>
        <v>405.94248986244202</v>
      </c>
      <c r="I298" s="1">
        <v>417.512158155441</v>
      </c>
      <c r="J298" s="8">
        <f t="shared" si="35"/>
        <v>11.569668292998983</v>
      </c>
      <c r="L298" s="128">
        <f t="shared" si="36"/>
        <v>11.569668292998983</v>
      </c>
      <c r="M298" s="118">
        <v>0.6</v>
      </c>
    </row>
    <row r="299" spans="2:15" x14ac:dyDescent="0.2">
      <c r="B299" s="26" t="s">
        <v>31</v>
      </c>
      <c r="C299" s="1">
        <v>24</v>
      </c>
      <c r="D299" s="45">
        <f>I296-H296</f>
        <v>8.8279774188999909</v>
      </c>
      <c r="E299" s="2"/>
      <c r="G299" s="26" t="s">
        <v>22</v>
      </c>
      <c r="H299" s="13">
        <f>H298+20</f>
        <v>425.94248986244202</v>
      </c>
      <c r="I299" s="17" t="b">
        <f>FALSE</f>
        <v>0</v>
      </c>
      <c r="J299" s="8" t="b">
        <f t="shared" si="35"/>
        <v>0</v>
      </c>
      <c r="L299" s="128">
        <f t="shared" si="36"/>
        <v>20</v>
      </c>
    </row>
    <row r="300" spans="2:15" ht="17" thickBot="1" x14ac:dyDescent="0.25">
      <c r="B300" s="26" t="s">
        <v>19</v>
      </c>
      <c r="C300" s="15">
        <v>44</v>
      </c>
      <c r="D300" s="50">
        <f>I297-H297</f>
        <v>2.4327280521399643</v>
      </c>
      <c r="E300" s="43"/>
      <c r="G300" s="26" t="s">
        <v>33</v>
      </c>
      <c r="H300" s="13">
        <f>H299+20</f>
        <v>445.94248986244202</v>
      </c>
      <c r="I300" s="8" t="b">
        <v>0</v>
      </c>
      <c r="J300" s="8" t="b">
        <f t="shared" si="35"/>
        <v>0</v>
      </c>
      <c r="L300" s="128">
        <f t="shared" si="36"/>
        <v>20</v>
      </c>
    </row>
    <row r="301" spans="2:15" x14ac:dyDescent="0.2">
      <c r="D301" s="45"/>
      <c r="F301" s="3" t="s">
        <v>104</v>
      </c>
      <c r="G301" s="26" t="s">
        <v>34</v>
      </c>
      <c r="H301" s="13">
        <f>M293+4</f>
        <v>537.30037140846196</v>
      </c>
      <c r="I301" s="1" t="s">
        <v>219</v>
      </c>
      <c r="J301" s="8"/>
      <c r="L301" s="128">
        <f t="shared" si="36"/>
        <v>20</v>
      </c>
    </row>
    <row r="302" spans="2:15" x14ac:dyDescent="0.2">
      <c r="D302" s="45"/>
      <c r="G302" s="26" t="s">
        <v>35</v>
      </c>
      <c r="H302" s="13">
        <f>H301+20</f>
        <v>557.30037140846196</v>
      </c>
      <c r="I302" s="8" t="b">
        <v>0</v>
      </c>
      <c r="J302" s="8" t="b">
        <f t="shared" si="35"/>
        <v>0</v>
      </c>
      <c r="L302" s="128">
        <f t="shared" si="36"/>
        <v>20</v>
      </c>
    </row>
    <row r="303" spans="2:15" ht="17" thickBot="1" x14ac:dyDescent="0.25">
      <c r="D303" s="45"/>
      <c r="G303" s="33" t="s">
        <v>36</v>
      </c>
      <c r="H303" s="14">
        <f>H302+20</f>
        <v>577.30037140846196</v>
      </c>
      <c r="I303" s="63">
        <v>594.15489673614502</v>
      </c>
      <c r="J303" s="8">
        <f t="shared" si="35"/>
        <v>16.854525327683064</v>
      </c>
      <c r="L303" s="128">
        <f t="shared" si="36"/>
        <v>16.854525327683064</v>
      </c>
    </row>
    <row r="304" spans="2:15" x14ac:dyDescent="0.2">
      <c r="D304" s="45"/>
      <c r="H304" s="1" t="s">
        <v>53</v>
      </c>
      <c r="I304" s="1">
        <v>3</v>
      </c>
      <c r="L304" s="128">
        <f>AVERAGE(L291:L303)</f>
        <v>15.226551936223085</v>
      </c>
    </row>
    <row r="305" spans="1:15" x14ac:dyDescent="0.2">
      <c r="D305" s="45"/>
    </row>
    <row r="306" spans="1:15" x14ac:dyDescent="0.2">
      <c r="D306" s="45"/>
    </row>
    <row r="307" spans="1:15" x14ac:dyDescent="0.2">
      <c r="D307" s="45"/>
    </row>
    <row r="310" spans="1:15" x14ac:dyDescent="0.2">
      <c r="A310" s="1" t="s">
        <v>72</v>
      </c>
      <c r="B310" s="1" t="s">
        <v>4</v>
      </c>
    </row>
    <row r="314" spans="1:15" x14ac:dyDescent="0.2">
      <c r="A314" s="1" t="s">
        <v>169</v>
      </c>
      <c r="B314" s="1" t="s">
        <v>170</v>
      </c>
      <c r="C314" s="1" t="s">
        <v>171</v>
      </c>
      <c r="D314" s="1" t="s">
        <v>172</v>
      </c>
      <c r="E314" s="1" t="s">
        <v>173</v>
      </c>
    </row>
    <row r="315" spans="1:15" ht="17" thickBot="1" x14ac:dyDescent="0.25">
      <c r="A315" s="1">
        <v>2.2222222222222201</v>
      </c>
      <c r="B315" s="1">
        <v>1.6447368421052599</v>
      </c>
      <c r="C315" s="1">
        <v>2</v>
      </c>
      <c r="D315" s="1">
        <v>2.43055555555555</v>
      </c>
      <c r="E315" s="1">
        <v>3.05555555555555</v>
      </c>
    </row>
    <row r="316" spans="1:15" ht="17" thickBot="1" x14ac:dyDescent="0.25">
      <c r="G316" s="1">
        <v>14</v>
      </c>
      <c r="H316" s="20" t="s">
        <v>45</v>
      </c>
      <c r="I316" s="21" t="s">
        <v>46</v>
      </c>
      <c r="J316" s="22" t="s">
        <v>47</v>
      </c>
      <c r="M316" s="23" t="s">
        <v>0</v>
      </c>
      <c r="O316" s="1" t="s">
        <v>5</v>
      </c>
    </row>
    <row r="317" spans="1:15" x14ac:dyDescent="0.2">
      <c r="B317" s="24"/>
      <c r="G317" s="34" t="s">
        <v>11</v>
      </c>
      <c r="H317" s="38">
        <f>M317+4-O317</f>
        <v>18.189254283905001</v>
      </c>
      <c r="I317" s="7" t="b">
        <f>FALSE</f>
        <v>0</v>
      </c>
      <c r="J317" s="8" t="b">
        <f>IF(I317,I317-H317,FALSE)</f>
        <v>0</v>
      </c>
      <c r="M317" s="25">
        <v>17.209656000137301</v>
      </c>
      <c r="O317" s="1">
        <v>3.0204017162322998</v>
      </c>
    </row>
    <row r="318" spans="1:15" ht="17" thickBot="1" x14ac:dyDescent="0.25">
      <c r="B318" s="35"/>
      <c r="G318" s="35" t="s">
        <v>12</v>
      </c>
      <c r="H318" s="9">
        <f>H317+20</f>
        <v>38.189254283905001</v>
      </c>
      <c r="I318" s="7" t="b">
        <f>FALSE</f>
        <v>0</v>
      </c>
      <c r="J318" s="8" t="b">
        <f t="shared" ref="J318:J331" si="38">IF(I318,I318-H318,FALSE)</f>
        <v>0</v>
      </c>
      <c r="M318" s="25">
        <v>135.00956916809</v>
      </c>
    </row>
    <row r="319" spans="1:15" ht="17" thickBot="1" x14ac:dyDescent="0.25">
      <c r="B319" s="51"/>
      <c r="C319" s="52"/>
      <c r="D319" s="53"/>
      <c r="E319" s="54"/>
      <c r="G319" s="26" t="s">
        <v>13</v>
      </c>
      <c r="H319" s="9">
        <f>H318+20</f>
        <v>58.189254283905001</v>
      </c>
      <c r="I319" s="5">
        <v>66.329498052597003</v>
      </c>
      <c r="J319" s="8">
        <f>IF(I319,I319-H319,FALSE)</f>
        <v>8.1402437686920024</v>
      </c>
      <c r="L319" s="128">
        <f t="shared" ref="L318:L331" si="39">IF(J319=FALSE,20,J319)</f>
        <v>8.1402437686920024</v>
      </c>
      <c r="M319" s="25">
        <v>266.80337738990698</v>
      </c>
    </row>
    <row r="320" spans="1:15" ht="17" thickBot="1" x14ac:dyDescent="0.25">
      <c r="F320" s="3" t="s">
        <v>106</v>
      </c>
      <c r="G320" s="35" t="s">
        <v>14</v>
      </c>
      <c r="H320" s="9">
        <f>M318+4</f>
        <v>139.00956916809</v>
      </c>
      <c r="I320" s="7" t="b">
        <f>FALSE</f>
        <v>0</v>
      </c>
      <c r="J320" s="8" t="b">
        <f t="shared" si="38"/>
        <v>0</v>
      </c>
      <c r="M320" s="25">
        <v>378.791607618331</v>
      </c>
    </row>
    <row r="321" spans="2:13" ht="17" thickBot="1" x14ac:dyDescent="0.25">
      <c r="B321" s="51"/>
      <c r="C321" s="52"/>
      <c r="D321" s="53"/>
      <c r="E321" s="54"/>
      <c r="F321" s="3" t="s">
        <v>93</v>
      </c>
      <c r="G321" s="35" t="s">
        <v>15</v>
      </c>
      <c r="H321" s="9">
        <f>H320+20</f>
        <v>159.00956916809</v>
      </c>
      <c r="I321" s="6">
        <v>159.287230014801</v>
      </c>
      <c r="J321" s="8">
        <f t="shared" si="38"/>
        <v>0.27766084671100089</v>
      </c>
      <c r="M321" s="65">
        <v>495.27546310424799</v>
      </c>
    </row>
    <row r="322" spans="2:13" ht="17" thickBot="1" x14ac:dyDescent="0.25">
      <c r="G322" s="26" t="s">
        <v>16</v>
      </c>
      <c r="H322" s="9">
        <f>H321+20</f>
        <v>179.00956916809</v>
      </c>
      <c r="I322" s="5">
        <v>195.16780495643599</v>
      </c>
      <c r="J322" s="8">
        <f t="shared" si="38"/>
        <v>16.158235788345991</v>
      </c>
      <c r="L322" s="128">
        <f t="shared" si="39"/>
        <v>16.158235788345991</v>
      </c>
    </row>
    <row r="323" spans="2:13" ht="17" thickBot="1" x14ac:dyDescent="0.25">
      <c r="B323" s="51"/>
      <c r="C323" s="52"/>
      <c r="D323" s="53"/>
      <c r="E323" s="54"/>
      <c r="G323" s="35" t="s">
        <v>17</v>
      </c>
      <c r="H323" s="9">
        <f>M319+4</f>
        <v>270.80337738990698</v>
      </c>
      <c r="I323" s="7" t="b">
        <f>FALSE</f>
        <v>0</v>
      </c>
      <c r="J323" s="8" t="b">
        <f t="shared" si="38"/>
        <v>0</v>
      </c>
    </row>
    <row r="324" spans="2:13" x14ac:dyDescent="0.2">
      <c r="G324" s="35" t="s">
        <v>18</v>
      </c>
      <c r="H324" s="9">
        <f>H323+20</f>
        <v>290.80337738990698</v>
      </c>
      <c r="I324" s="7" t="b">
        <f>FALSE</f>
        <v>0</v>
      </c>
      <c r="J324" s="8" t="b">
        <f t="shared" si="38"/>
        <v>0</v>
      </c>
    </row>
    <row r="325" spans="2:13" ht="17" thickBot="1" x14ac:dyDescent="0.25">
      <c r="G325" s="26" t="s">
        <v>19</v>
      </c>
      <c r="H325" s="9">
        <f>H324+20</f>
        <v>310.80337738990698</v>
      </c>
      <c r="I325" s="37" t="b">
        <f>FALSE</f>
        <v>0</v>
      </c>
      <c r="J325" s="8" t="b">
        <f t="shared" si="38"/>
        <v>0</v>
      </c>
      <c r="L325" s="132">
        <f t="shared" si="39"/>
        <v>20</v>
      </c>
      <c r="M325" s="118" t="s">
        <v>222</v>
      </c>
    </row>
    <row r="326" spans="2:13" x14ac:dyDescent="0.2">
      <c r="G326" s="35" t="s">
        <v>20</v>
      </c>
      <c r="H326" s="9">
        <f>M320+4</f>
        <v>382.791607618331</v>
      </c>
      <c r="I326" s="7" t="b">
        <f>FALSE</f>
        <v>0</v>
      </c>
      <c r="J326" s="8" t="b">
        <f t="shared" si="38"/>
        <v>0</v>
      </c>
      <c r="M326" s="118">
        <v>0.6</v>
      </c>
    </row>
    <row r="327" spans="2:13" x14ac:dyDescent="0.2">
      <c r="G327" s="35" t="s">
        <v>21</v>
      </c>
      <c r="H327" s="9">
        <f>H326+20</f>
        <v>402.791607618331</v>
      </c>
      <c r="I327" s="7" t="b">
        <f>FALSE</f>
        <v>0</v>
      </c>
      <c r="J327" s="8" t="b">
        <f t="shared" si="38"/>
        <v>0</v>
      </c>
    </row>
    <row r="328" spans="2:13" ht="17" thickBot="1" x14ac:dyDescent="0.25">
      <c r="G328" s="26" t="s">
        <v>22</v>
      </c>
      <c r="H328" s="9">
        <f>H327+20</f>
        <v>422.791607618331</v>
      </c>
      <c r="I328" s="11">
        <v>437.038500547409</v>
      </c>
      <c r="J328" s="8">
        <f t="shared" si="38"/>
        <v>14.246892929078001</v>
      </c>
      <c r="L328" s="128">
        <f t="shared" si="39"/>
        <v>14.246892929078001</v>
      </c>
    </row>
    <row r="329" spans="2:13" x14ac:dyDescent="0.2">
      <c r="G329" s="35" t="s">
        <v>23</v>
      </c>
      <c r="H329" s="9">
        <f>M321+4</f>
        <v>499.27546310424799</v>
      </c>
      <c r="I329" s="7" t="b">
        <f>FALSE</f>
        <v>0</v>
      </c>
      <c r="J329" s="8" t="b">
        <f t="shared" si="38"/>
        <v>0</v>
      </c>
    </row>
    <row r="330" spans="2:13" x14ac:dyDescent="0.2">
      <c r="G330" s="35" t="s">
        <v>24</v>
      </c>
      <c r="H330" s="9">
        <f>H329+20</f>
        <v>519.27546310424805</v>
      </c>
      <c r="I330" s="7">
        <v>525.62623286247197</v>
      </c>
      <c r="J330" s="8">
        <f t="shared" si="38"/>
        <v>6.3507697582239189</v>
      </c>
    </row>
    <row r="331" spans="2:13" ht="17" thickBot="1" x14ac:dyDescent="0.25">
      <c r="G331" s="33" t="s">
        <v>25</v>
      </c>
      <c r="H331" s="10">
        <f>H330+20</f>
        <v>539.27546310424805</v>
      </c>
      <c r="I331" s="37" t="b">
        <f>FALSE</f>
        <v>0</v>
      </c>
      <c r="J331" s="8" t="b">
        <f t="shared" si="38"/>
        <v>0</v>
      </c>
      <c r="L331" s="132">
        <f t="shared" si="39"/>
        <v>20</v>
      </c>
    </row>
    <row r="332" spans="2:13" x14ac:dyDescent="0.2">
      <c r="H332" s="1" t="s">
        <v>53</v>
      </c>
      <c r="I332" s="1">
        <v>3</v>
      </c>
      <c r="L332" s="128">
        <f>AVERAGE(L319:L331)</f>
        <v>15.709074497223199</v>
      </c>
    </row>
    <row r="337" spans="11:12" x14ac:dyDescent="0.2">
      <c r="K337" s="1" t="s">
        <v>231</v>
      </c>
      <c r="L337" s="128">
        <f>AVERAGE(L304,L277,L250,L180,L107,L84,L20)</f>
        <v>11.113919510350714</v>
      </c>
    </row>
    <row r="338" spans="11:12" x14ac:dyDescent="0.2">
      <c r="K338" s="1" t="s">
        <v>230</v>
      </c>
      <c r="L338" s="128">
        <f>AVERAGE(L332,L221,L200,L157,L135,L62)</f>
        <v>13.428106768926151</v>
      </c>
    </row>
  </sheetData>
  <autoFilter ref="AV66:AV114" xr:uid="{0E6A4BA9-71B5-E545-BD9B-6DC245F2536B}"/>
  <sortState xmlns:xlrd2="http://schemas.microsoft.com/office/spreadsheetml/2017/richdata2" ref="AV66:AV114">
    <sortCondition ref="AV66:AV114"/>
  </sortState>
  <mergeCells count="2">
    <mergeCell ref="C84:D84"/>
    <mergeCell ref="R19:V19"/>
  </mergeCells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F1616-74ED-1143-A961-900A17593010}">
  <dimension ref="A1:H330"/>
  <sheetViews>
    <sheetView workbookViewId="0">
      <selection activeCell="F28" sqref="F28"/>
    </sheetView>
  </sheetViews>
  <sheetFormatPr baseColWidth="10" defaultRowHeight="16" x14ac:dyDescent="0.2"/>
  <cols>
    <col min="6" max="6" width="31.6640625" style="128" customWidth="1"/>
    <col min="8" max="8" width="23.5" style="128" customWidth="1"/>
  </cols>
  <sheetData>
    <row r="1" spans="1:8" ht="17" thickBot="1" x14ac:dyDescent="0.25">
      <c r="A1" s="128" t="s">
        <v>228</v>
      </c>
      <c r="B1" s="128"/>
      <c r="C1" s="128"/>
      <c r="D1" s="128"/>
    </row>
    <row r="2" spans="1:8" x14ac:dyDescent="0.2">
      <c r="A2" s="128">
        <v>1</v>
      </c>
      <c r="B2" s="30" t="s">
        <v>45</v>
      </c>
      <c r="C2" s="31" t="s">
        <v>46</v>
      </c>
      <c r="D2" s="32" t="s">
        <v>47</v>
      </c>
      <c r="F2" s="23" t="s">
        <v>0</v>
      </c>
    </row>
    <row r="3" spans="1:8" x14ac:dyDescent="0.2">
      <c r="A3" s="128"/>
      <c r="B3" s="128"/>
      <c r="C3" s="128"/>
      <c r="D3" s="128"/>
    </row>
    <row r="4" spans="1:8" x14ac:dyDescent="0.2">
      <c r="A4" s="128"/>
      <c r="B4" s="128"/>
      <c r="C4" s="128"/>
      <c r="D4" s="128"/>
      <c r="H4" s="128" t="s">
        <v>1</v>
      </c>
    </row>
    <row r="5" spans="1:8" x14ac:dyDescent="0.2">
      <c r="A5" s="60" t="s">
        <v>13</v>
      </c>
      <c r="B5" s="87">
        <f>B4+20</f>
        <v>20</v>
      </c>
      <c r="C5" s="61">
        <v>130.51210427284201</v>
      </c>
      <c r="D5" s="8">
        <f t="shared" ref="D5:D17" si="0">IF(C5,C5-B5,FALSE)</f>
        <v>110.51210427284201</v>
      </c>
      <c r="F5" s="25">
        <v>413.87210249900801</v>
      </c>
    </row>
    <row r="6" spans="1:8" x14ac:dyDescent="0.2">
      <c r="A6" s="60" t="s">
        <v>28</v>
      </c>
      <c r="B6" s="86">
        <v>273.448920249938</v>
      </c>
      <c r="C6" s="62">
        <v>288.82819056510903</v>
      </c>
      <c r="D6" s="8">
        <f t="shared" si="0"/>
        <v>15.379270315171027</v>
      </c>
      <c r="F6" s="25">
        <v>580.51812863349903</v>
      </c>
    </row>
    <row r="7" spans="1:8" ht="17" thickBot="1" x14ac:dyDescent="0.25">
      <c r="A7" s="60" t="s">
        <v>29</v>
      </c>
      <c r="B7" s="9">
        <f>B6+20</f>
        <v>293.448920249938</v>
      </c>
      <c r="C7" s="7" t="b">
        <f>FALSE</f>
        <v>0</v>
      </c>
      <c r="D7" s="8" t="b">
        <f t="shared" si="0"/>
        <v>0</v>
      </c>
      <c r="F7" s="29">
        <v>750.26220488548199</v>
      </c>
    </row>
    <row r="8" spans="1:8" x14ac:dyDescent="0.2">
      <c r="A8" s="60" t="s">
        <v>16</v>
      </c>
      <c r="B8" s="9">
        <f>B7+20</f>
        <v>313.448920249938</v>
      </c>
      <c r="C8" s="5">
        <v>320.19820332527098</v>
      </c>
      <c r="D8" s="8">
        <f t="shared" si="0"/>
        <v>6.7492830753329827</v>
      </c>
    </row>
    <row r="9" spans="1:8" x14ac:dyDescent="0.2">
      <c r="A9" s="60" t="s">
        <v>30</v>
      </c>
      <c r="B9" s="86">
        <v>417.87210249900801</v>
      </c>
      <c r="C9" s="62" t="b">
        <f>FALSE</f>
        <v>0</v>
      </c>
      <c r="D9" s="8" t="b">
        <f t="shared" si="0"/>
        <v>0</v>
      </c>
      <c r="F9" s="128" t="s">
        <v>222</v>
      </c>
    </row>
    <row r="10" spans="1:8" x14ac:dyDescent="0.2">
      <c r="A10" s="60" t="s">
        <v>31</v>
      </c>
      <c r="B10" s="9">
        <f>B9+20</f>
        <v>437.87210249900801</v>
      </c>
      <c r="C10" s="7">
        <v>441.029893398284</v>
      </c>
      <c r="D10" s="8">
        <f t="shared" si="0"/>
        <v>3.1577908992759944</v>
      </c>
      <c r="F10" s="128">
        <f>4/5</f>
        <v>0.8</v>
      </c>
    </row>
    <row r="11" spans="1:8" x14ac:dyDescent="0.2">
      <c r="A11" s="60" t="s">
        <v>19</v>
      </c>
      <c r="B11" s="87">
        <f>B10+20</f>
        <v>457.87210249900801</v>
      </c>
      <c r="C11" s="64" t="b">
        <f>FALSE</f>
        <v>0</v>
      </c>
      <c r="D11" s="8" t="b">
        <f t="shared" si="0"/>
        <v>0</v>
      </c>
    </row>
    <row r="12" spans="1:8" x14ac:dyDescent="0.2">
      <c r="A12" s="60" t="s">
        <v>32</v>
      </c>
      <c r="B12" s="9">
        <v>584.51812863349903</v>
      </c>
      <c r="C12" s="7">
        <v>592.72624850273098</v>
      </c>
      <c r="D12" s="8">
        <f t="shared" si="0"/>
        <v>8.2081198692319504</v>
      </c>
    </row>
    <row r="13" spans="1:8" x14ac:dyDescent="0.2">
      <c r="A13" s="60" t="s">
        <v>22</v>
      </c>
      <c r="B13" s="9">
        <f>B12+20</f>
        <v>604.51812863349903</v>
      </c>
      <c r="C13" s="5">
        <v>624.11505985259998</v>
      </c>
      <c r="D13" s="8">
        <f t="shared" si="0"/>
        <v>19.596931219100952</v>
      </c>
    </row>
    <row r="14" spans="1:8" x14ac:dyDescent="0.2">
      <c r="A14" s="60" t="s">
        <v>33</v>
      </c>
      <c r="B14" s="87">
        <f>B13+20</f>
        <v>624.51812863349903</v>
      </c>
      <c r="C14" s="63">
        <v>644.38860154151905</v>
      </c>
      <c r="D14" s="8">
        <f t="shared" si="0"/>
        <v>19.87047290802002</v>
      </c>
    </row>
    <row r="15" spans="1:8" x14ac:dyDescent="0.2">
      <c r="A15" s="60" t="s">
        <v>34</v>
      </c>
      <c r="B15" s="9">
        <v>754.26220488548199</v>
      </c>
      <c r="C15" s="7">
        <v>769.31670212745598</v>
      </c>
      <c r="D15" s="8">
        <f t="shared" si="0"/>
        <v>15.054497241973991</v>
      </c>
    </row>
    <row r="16" spans="1:8" x14ac:dyDescent="0.2">
      <c r="A16" s="60" t="s">
        <v>35</v>
      </c>
      <c r="B16" s="9">
        <f>B15+20</f>
        <v>774.26220488548199</v>
      </c>
      <c r="C16" s="7">
        <v>791.96854615211396</v>
      </c>
      <c r="D16" s="8">
        <f t="shared" si="0"/>
        <v>17.706341266631966</v>
      </c>
    </row>
    <row r="17" spans="1:8" ht="17" thickBot="1" x14ac:dyDescent="0.25">
      <c r="A17" s="42" t="s">
        <v>36</v>
      </c>
      <c r="B17" s="10">
        <f>B16+20</f>
        <v>794.26220488548199</v>
      </c>
      <c r="C17" s="66" t="b">
        <f>FALSE</f>
        <v>0</v>
      </c>
      <c r="D17" s="12" t="b">
        <f t="shared" si="0"/>
        <v>0</v>
      </c>
    </row>
    <row r="18" spans="1:8" x14ac:dyDescent="0.2">
      <c r="A18" s="128"/>
      <c r="B18" s="128" t="s">
        <v>53</v>
      </c>
      <c r="C18" s="128">
        <v>4</v>
      </c>
      <c r="D18" s="128">
        <f>AVERAGE(D5:D17)</f>
        <v>24.0260901186201</v>
      </c>
    </row>
    <row r="19" spans="1:8" x14ac:dyDescent="0.2">
      <c r="A19" s="128"/>
      <c r="B19" s="128"/>
      <c r="C19" s="128"/>
      <c r="D19" s="128"/>
    </row>
    <row r="20" spans="1:8" x14ac:dyDescent="0.2">
      <c r="A20" s="128"/>
      <c r="B20" s="128"/>
      <c r="C20" s="128"/>
      <c r="D20" s="128"/>
    </row>
    <row r="21" spans="1:8" x14ac:dyDescent="0.2">
      <c r="A21" s="128"/>
      <c r="B21" s="128"/>
      <c r="C21" s="128"/>
      <c r="D21" s="128"/>
    </row>
    <row r="22" spans="1:8" ht="17" thickBot="1" x14ac:dyDescent="0.25">
      <c r="A22" s="128" t="s">
        <v>229</v>
      </c>
      <c r="B22" s="128"/>
      <c r="C22" s="128"/>
      <c r="D22" s="128"/>
    </row>
    <row r="23" spans="1:8" ht="17" thickBot="1" x14ac:dyDescent="0.25">
      <c r="A23" s="128">
        <v>2</v>
      </c>
      <c r="B23" s="20" t="s">
        <v>45</v>
      </c>
      <c r="C23" s="21" t="s">
        <v>46</v>
      </c>
      <c r="D23" s="22" t="s">
        <v>47</v>
      </c>
      <c r="F23" s="23" t="s">
        <v>0</v>
      </c>
    </row>
    <row r="24" spans="1:8" x14ac:dyDescent="0.2">
      <c r="A24" s="34" t="s">
        <v>11</v>
      </c>
      <c r="B24" s="9">
        <f>G24+4-I24</f>
        <v>4</v>
      </c>
      <c r="C24" s="7" t="b">
        <f>FALSE</f>
        <v>0</v>
      </c>
      <c r="D24" s="8" t="b">
        <f>IF(C24,C24-B24,FALSE)</f>
        <v>0</v>
      </c>
      <c r="F24" s="25">
        <v>22.0218617916107</v>
      </c>
    </row>
    <row r="25" spans="1:8" x14ac:dyDescent="0.2">
      <c r="A25" s="35" t="s">
        <v>12</v>
      </c>
      <c r="B25" s="9">
        <f>B24+20</f>
        <v>24</v>
      </c>
      <c r="C25" s="7" t="b">
        <f>FALSE</f>
        <v>0</v>
      </c>
      <c r="D25" s="8" t="b">
        <f t="shared" ref="D25:D38" si="1">IF(C25,C25-B25,FALSE)</f>
        <v>0</v>
      </c>
      <c r="F25" s="25">
        <v>189.51719760894699</v>
      </c>
      <c r="H25" s="128" t="s">
        <v>5</v>
      </c>
    </row>
    <row r="26" spans="1:8" x14ac:dyDescent="0.2">
      <c r="A26" s="26" t="s">
        <v>13</v>
      </c>
      <c r="B26" s="9">
        <f>B25+20</f>
        <v>44</v>
      </c>
      <c r="C26" s="5" t="s">
        <v>7</v>
      </c>
      <c r="D26" s="8" t="b">
        <v>0</v>
      </c>
      <c r="F26" s="25">
        <v>327.36541986465397</v>
      </c>
      <c r="H26" s="128">
        <v>3.0014147758483798</v>
      </c>
    </row>
    <row r="27" spans="1:8" x14ac:dyDescent="0.2">
      <c r="A27" s="35" t="s">
        <v>14</v>
      </c>
      <c r="B27" s="9">
        <f>G25+4</f>
        <v>4</v>
      </c>
      <c r="C27" s="6">
        <v>210.109982967376</v>
      </c>
      <c r="D27" s="8">
        <f t="shared" si="1"/>
        <v>206.109982967376</v>
      </c>
      <c r="F27" s="25">
        <v>470.70475363731299</v>
      </c>
    </row>
    <row r="28" spans="1:8" ht="17" thickBot="1" x14ac:dyDescent="0.25">
      <c r="A28" s="35" t="s">
        <v>15</v>
      </c>
      <c r="B28" s="9">
        <f>B27+20</f>
        <v>24</v>
      </c>
      <c r="C28" s="7" t="b">
        <f>FALSE</f>
        <v>0</v>
      </c>
      <c r="D28" s="8" t="b">
        <f t="shared" si="1"/>
        <v>0</v>
      </c>
      <c r="F28" s="29">
        <v>593.14326071739197</v>
      </c>
    </row>
    <row r="29" spans="1:8" x14ac:dyDescent="0.2">
      <c r="A29" s="26" t="s">
        <v>16</v>
      </c>
      <c r="B29" s="9">
        <f>B28+20</f>
        <v>44</v>
      </c>
      <c r="C29" s="5">
        <v>239.78384828567499</v>
      </c>
      <c r="D29" s="8">
        <f t="shared" si="1"/>
        <v>195.78384828567499</v>
      </c>
    </row>
    <row r="30" spans="1:8" x14ac:dyDescent="0.2">
      <c r="A30" s="35" t="s">
        <v>17</v>
      </c>
      <c r="B30" s="9">
        <f>G26+4</f>
        <v>4</v>
      </c>
      <c r="C30" s="7" t="b">
        <f>FALSE</f>
        <v>0</v>
      </c>
      <c r="D30" s="8" t="b">
        <f t="shared" si="1"/>
        <v>0</v>
      </c>
      <c r="F30" s="128" t="s">
        <v>222</v>
      </c>
    </row>
    <row r="31" spans="1:8" x14ac:dyDescent="0.2">
      <c r="A31" s="35" t="s">
        <v>18</v>
      </c>
      <c r="B31" s="9">
        <f>B30+20</f>
        <v>24</v>
      </c>
      <c r="C31" s="7" t="b">
        <f>FALSE</f>
        <v>0</v>
      </c>
      <c r="D31" s="8" t="b">
        <f t="shared" si="1"/>
        <v>0</v>
      </c>
      <c r="F31" s="128">
        <f>1</f>
        <v>1</v>
      </c>
    </row>
    <row r="32" spans="1:8" x14ac:dyDescent="0.2">
      <c r="A32" s="26" t="s">
        <v>19</v>
      </c>
      <c r="B32" s="9">
        <f>B31+20</f>
        <v>44</v>
      </c>
      <c r="C32" s="5">
        <v>387.57009792327801</v>
      </c>
      <c r="D32" s="8">
        <f t="shared" si="1"/>
        <v>343.57009792327801</v>
      </c>
    </row>
    <row r="33" spans="1:8" x14ac:dyDescent="0.2">
      <c r="A33" s="35" t="s">
        <v>20</v>
      </c>
      <c r="B33" s="9">
        <f>G27+4</f>
        <v>4</v>
      </c>
      <c r="C33" s="7" t="b">
        <f>FALSE</f>
        <v>0</v>
      </c>
      <c r="D33" s="8" t="b">
        <f t="shared" si="1"/>
        <v>0</v>
      </c>
    </row>
    <row r="34" spans="1:8" x14ac:dyDescent="0.2">
      <c r="A34" s="35" t="s">
        <v>21</v>
      </c>
      <c r="B34" s="9">
        <f>B33+20</f>
        <v>24</v>
      </c>
      <c r="C34" s="7" t="b">
        <f>FALSE</f>
        <v>0</v>
      </c>
      <c r="D34" s="8" t="b">
        <f t="shared" si="1"/>
        <v>0</v>
      </c>
    </row>
    <row r="35" spans="1:8" x14ac:dyDescent="0.2">
      <c r="A35" s="26" t="s">
        <v>22</v>
      </c>
      <c r="B35" s="9">
        <f>B34+20</f>
        <v>44</v>
      </c>
      <c r="C35" s="5">
        <v>533.36060643196095</v>
      </c>
      <c r="D35" s="8">
        <f t="shared" si="1"/>
        <v>489.36060643196095</v>
      </c>
    </row>
    <row r="36" spans="1:8" x14ac:dyDescent="0.2">
      <c r="A36" s="35" t="s">
        <v>23</v>
      </c>
      <c r="B36" s="9">
        <f>G28+4</f>
        <v>4</v>
      </c>
      <c r="C36" s="7" t="b">
        <f>FALSE</f>
        <v>0</v>
      </c>
      <c r="D36" s="8" t="b">
        <f t="shared" si="1"/>
        <v>0</v>
      </c>
    </row>
    <row r="37" spans="1:8" x14ac:dyDescent="0.2">
      <c r="A37" s="35" t="s">
        <v>24</v>
      </c>
      <c r="B37" s="9">
        <f>B36+20</f>
        <v>24</v>
      </c>
      <c r="C37" s="7" t="b">
        <f>FALSE</f>
        <v>0</v>
      </c>
      <c r="D37" s="8" t="b">
        <f t="shared" si="1"/>
        <v>0</v>
      </c>
    </row>
    <row r="38" spans="1:8" ht="17" thickBot="1" x14ac:dyDescent="0.25">
      <c r="A38" s="33" t="s">
        <v>25</v>
      </c>
      <c r="B38" s="10">
        <f>B37+20</f>
        <v>44</v>
      </c>
      <c r="C38" s="11">
        <v>640.42698359489395</v>
      </c>
      <c r="D38" s="8">
        <f t="shared" si="1"/>
        <v>596.42698359489395</v>
      </c>
    </row>
    <row r="39" spans="1:8" x14ac:dyDescent="0.2">
      <c r="A39" s="128"/>
      <c r="B39" s="128" t="s">
        <v>53</v>
      </c>
      <c r="C39" s="128">
        <v>5</v>
      </c>
      <c r="D39" s="128"/>
    </row>
    <row r="40" spans="1:8" x14ac:dyDescent="0.2">
      <c r="A40" s="128"/>
      <c r="B40" s="128"/>
      <c r="C40" s="128"/>
      <c r="D40" s="128"/>
    </row>
    <row r="41" spans="1:8" x14ac:dyDescent="0.2">
      <c r="A41" s="128"/>
      <c r="B41" s="128"/>
      <c r="C41" s="128"/>
      <c r="D41" s="128"/>
    </row>
    <row r="42" spans="1:8" x14ac:dyDescent="0.2">
      <c r="A42" s="128"/>
      <c r="B42" s="128"/>
      <c r="C42" s="128"/>
      <c r="D42" s="128"/>
    </row>
    <row r="43" spans="1:8" ht="17" thickBot="1" x14ac:dyDescent="0.25">
      <c r="A43" s="128" t="s">
        <v>229</v>
      </c>
      <c r="B43" s="128"/>
      <c r="C43" s="128"/>
      <c r="D43" s="128"/>
    </row>
    <row r="44" spans="1:8" ht="17" thickBot="1" x14ac:dyDescent="0.25">
      <c r="A44" s="128">
        <v>3</v>
      </c>
      <c r="B44" s="20" t="s">
        <v>45</v>
      </c>
      <c r="C44" s="21" t="s">
        <v>46</v>
      </c>
      <c r="D44" s="22" t="s">
        <v>47</v>
      </c>
      <c r="F44" s="23" t="s">
        <v>0</v>
      </c>
    </row>
    <row r="45" spans="1:8" x14ac:dyDescent="0.2">
      <c r="A45" s="34" t="s">
        <v>11</v>
      </c>
      <c r="B45" s="9">
        <f>G45+4-I45</f>
        <v>4</v>
      </c>
      <c r="C45" s="7" t="b">
        <f>FALSE</f>
        <v>0</v>
      </c>
      <c r="D45" s="8" t="b">
        <f>IF(C45,C45-B45,FALSE)</f>
        <v>0</v>
      </c>
      <c r="F45" s="25">
        <v>1112.1079170703799</v>
      </c>
    </row>
    <row r="46" spans="1:8" x14ac:dyDescent="0.2">
      <c r="A46" s="35" t="s">
        <v>12</v>
      </c>
      <c r="B46" s="9">
        <f>B45+20</f>
        <v>24</v>
      </c>
      <c r="C46" s="6">
        <v>1151.0175898075099</v>
      </c>
      <c r="D46" s="8">
        <f t="shared" ref="D46:D59" si="2">IF(C46,C46-B46,FALSE)</f>
        <v>1127.0175898075099</v>
      </c>
      <c r="F46" s="25">
        <v>1244.23892641067</v>
      </c>
      <c r="H46" s="128" t="s">
        <v>5</v>
      </c>
    </row>
    <row r="47" spans="1:8" x14ac:dyDescent="0.2">
      <c r="A47" s="26" t="s">
        <v>13</v>
      </c>
      <c r="B47" s="9">
        <f>B46+20</f>
        <v>44</v>
      </c>
      <c r="C47" s="5">
        <v>1156.9466130733399</v>
      </c>
      <c r="D47" s="8">
        <f t="shared" si="2"/>
        <v>1112.9466130733399</v>
      </c>
      <c r="F47" s="25">
        <v>1381.36573195457</v>
      </c>
      <c r="H47" s="128">
        <v>3.01290702819824</v>
      </c>
    </row>
    <row r="48" spans="1:8" x14ac:dyDescent="0.2">
      <c r="A48" s="35" t="s">
        <v>14</v>
      </c>
      <c r="B48" s="9">
        <f>G46+4</f>
        <v>4</v>
      </c>
      <c r="C48" s="6">
        <v>1259.2756664752901</v>
      </c>
      <c r="D48" s="8">
        <f t="shared" si="2"/>
        <v>1255.2756664752901</v>
      </c>
      <c r="F48" s="25">
        <v>1501.1876509189599</v>
      </c>
    </row>
    <row r="49" spans="1:6" ht="17" thickBot="1" x14ac:dyDescent="0.25">
      <c r="A49" s="35" t="s">
        <v>15</v>
      </c>
      <c r="B49" s="9">
        <f>B48+20</f>
        <v>24</v>
      </c>
      <c r="C49" s="7" t="b">
        <f>FALSE</f>
        <v>0</v>
      </c>
      <c r="D49" s="8" t="b">
        <f t="shared" si="2"/>
        <v>0</v>
      </c>
      <c r="F49" s="29">
        <v>1630.1044034957799</v>
      </c>
    </row>
    <row r="50" spans="1:6" x14ac:dyDescent="0.2">
      <c r="A50" s="26" t="s">
        <v>16</v>
      </c>
      <c r="B50" s="9">
        <f>B49+20</f>
        <v>44</v>
      </c>
      <c r="C50" s="5">
        <v>1297.4666819572401</v>
      </c>
      <c r="D50" s="8">
        <f t="shared" si="2"/>
        <v>1253.4666819572401</v>
      </c>
    </row>
    <row r="51" spans="1:6" x14ac:dyDescent="0.2">
      <c r="A51" s="35" t="s">
        <v>17</v>
      </c>
      <c r="B51" s="9">
        <f>G47+4</f>
        <v>4</v>
      </c>
      <c r="C51" s="7" t="b">
        <f>FALSE</f>
        <v>0</v>
      </c>
      <c r="D51" s="8" t="b">
        <f t="shared" si="2"/>
        <v>0</v>
      </c>
    </row>
    <row r="52" spans="1:6" x14ac:dyDescent="0.2">
      <c r="A52" s="35" t="s">
        <v>18</v>
      </c>
      <c r="B52" s="9">
        <f>B51+20</f>
        <v>24</v>
      </c>
      <c r="C52" s="7" t="b">
        <f>FALSE</f>
        <v>0</v>
      </c>
      <c r="D52" s="8" t="b">
        <f t="shared" si="2"/>
        <v>0</v>
      </c>
      <c r="F52" s="118" t="s">
        <v>222</v>
      </c>
    </row>
    <row r="53" spans="1:6" x14ac:dyDescent="0.2">
      <c r="A53" s="26" t="s">
        <v>19</v>
      </c>
      <c r="B53" s="9">
        <f>B52+20</f>
        <v>44</v>
      </c>
      <c r="C53" s="5">
        <v>1431.16288995742</v>
      </c>
      <c r="D53" s="8">
        <f t="shared" si="2"/>
        <v>1387.16288995742</v>
      </c>
      <c r="F53" s="118">
        <f>4/5</f>
        <v>0.8</v>
      </c>
    </row>
    <row r="54" spans="1:6" x14ac:dyDescent="0.2">
      <c r="A54" s="35" t="s">
        <v>20</v>
      </c>
      <c r="B54" s="9">
        <f>G48+4</f>
        <v>4</v>
      </c>
      <c r="C54" s="6">
        <v>1525.15438389778</v>
      </c>
      <c r="D54" s="8">
        <f t="shared" si="2"/>
        <v>1521.15438389778</v>
      </c>
    </row>
    <row r="55" spans="1:6" x14ac:dyDescent="0.2">
      <c r="A55" s="35" t="s">
        <v>21</v>
      </c>
      <c r="B55" s="9">
        <f>B54+20</f>
        <v>24</v>
      </c>
      <c r="C55" s="7" t="b">
        <f>FALSE</f>
        <v>0</v>
      </c>
      <c r="D55" s="8" t="b">
        <f t="shared" si="2"/>
        <v>0</v>
      </c>
    </row>
    <row r="56" spans="1:6" x14ac:dyDescent="0.2">
      <c r="A56" s="26" t="s">
        <v>22</v>
      </c>
      <c r="B56" s="9">
        <f>B55+20</f>
        <v>44</v>
      </c>
      <c r="C56" s="17" t="b">
        <v>0</v>
      </c>
      <c r="D56" s="8" t="b">
        <f t="shared" si="2"/>
        <v>0</v>
      </c>
    </row>
    <row r="57" spans="1:6" x14ac:dyDescent="0.2">
      <c r="A57" s="35" t="s">
        <v>23</v>
      </c>
      <c r="B57" s="9">
        <f>G49+4</f>
        <v>4</v>
      </c>
      <c r="C57" s="6">
        <v>1646.3438036441801</v>
      </c>
      <c r="D57" s="8">
        <f t="shared" si="2"/>
        <v>1642.3438036441801</v>
      </c>
    </row>
    <row r="58" spans="1:6" x14ac:dyDescent="0.2">
      <c r="A58" s="35" t="s">
        <v>24</v>
      </c>
      <c r="B58" s="9">
        <f>B57+20</f>
        <v>24</v>
      </c>
      <c r="C58" s="7" t="b">
        <f>FALSE</f>
        <v>0</v>
      </c>
      <c r="D58" s="8" t="b">
        <f t="shared" si="2"/>
        <v>0</v>
      </c>
    </row>
    <row r="59" spans="1:6" ht="17" thickBot="1" x14ac:dyDescent="0.25">
      <c r="A59" s="33" t="s">
        <v>25</v>
      </c>
      <c r="B59" s="10">
        <f>B58+20</f>
        <v>44</v>
      </c>
      <c r="C59" s="11">
        <v>1687.6685492992401</v>
      </c>
      <c r="D59" s="8">
        <f t="shared" si="2"/>
        <v>1643.6685492992401</v>
      </c>
    </row>
    <row r="60" spans="1:6" x14ac:dyDescent="0.2">
      <c r="A60" s="128"/>
      <c r="B60" s="128" t="s">
        <v>53</v>
      </c>
      <c r="C60" s="128">
        <v>4</v>
      </c>
      <c r="D60" s="128"/>
    </row>
    <row r="61" spans="1:6" x14ac:dyDescent="0.2">
      <c r="A61" s="128"/>
      <c r="B61" s="128"/>
      <c r="C61" s="128"/>
      <c r="D61" s="128"/>
    </row>
    <row r="62" spans="1:6" x14ac:dyDescent="0.2">
      <c r="A62" s="128"/>
      <c r="B62" s="128"/>
      <c r="C62" s="128"/>
      <c r="D62" s="128"/>
    </row>
    <row r="63" spans="1:6" x14ac:dyDescent="0.2">
      <c r="A63" s="128"/>
      <c r="B63" s="128"/>
      <c r="C63" s="128"/>
      <c r="D63" s="128"/>
    </row>
    <row r="64" spans="1:6" x14ac:dyDescent="0.2">
      <c r="A64" s="128"/>
      <c r="B64" s="128"/>
      <c r="C64" s="128"/>
      <c r="D64" s="128"/>
    </row>
    <row r="65" spans="1:8" ht="17" thickBot="1" x14ac:dyDescent="0.25">
      <c r="A65" s="128" t="s">
        <v>228</v>
      </c>
      <c r="B65" s="128"/>
      <c r="C65" s="128"/>
      <c r="D65" s="128"/>
    </row>
    <row r="66" spans="1:8" ht="17" thickBot="1" x14ac:dyDescent="0.25">
      <c r="A66" s="128">
        <v>4</v>
      </c>
      <c r="B66" s="20" t="s">
        <v>45</v>
      </c>
      <c r="C66" s="21" t="s">
        <v>46</v>
      </c>
      <c r="D66" s="22" t="s">
        <v>47</v>
      </c>
      <c r="F66" s="23" t="s">
        <v>0</v>
      </c>
    </row>
    <row r="67" spans="1:8" x14ac:dyDescent="0.2">
      <c r="A67" s="24" t="s">
        <v>26</v>
      </c>
      <c r="B67" s="30">
        <f>G67+4-I67</f>
        <v>4</v>
      </c>
      <c r="C67" s="36">
        <v>34.390650987625101</v>
      </c>
      <c r="D67" s="8">
        <f>IF(C67,C67-B67,FALSE)</f>
        <v>30.390650987625101</v>
      </c>
      <c r="F67" s="25">
        <v>29.658625841140701</v>
      </c>
    </row>
    <row r="68" spans="1:8" x14ac:dyDescent="0.2">
      <c r="A68" s="26" t="s">
        <v>27</v>
      </c>
      <c r="B68" s="13">
        <f>B67+20</f>
        <v>24</v>
      </c>
      <c r="C68" s="128">
        <v>53.924006938934298</v>
      </c>
      <c r="D68" s="8">
        <f t="shared" ref="D68:D81" si="3">IF(C68,C68-B68,FALSE)</f>
        <v>29.924006938934298</v>
      </c>
      <c r="F68" s="25">
        <v>173.19599270820601</v>
      </c>
      <c r="H68" s="128" t="s">
        <v>5</v>
      </c>
    </row>
    <row r="69" spans="1:8" x14ac:dyDescent="0.2">
      <c r="A69" s="26" t="s">
        <v>13</v>
      </c>
      <c r="B69" s="13">
        <f>B68+20</f>
        <v>44</v>
      </c>
      <c r="C69" s="4">
        <v>73.4413516521453</v>
      </c>
      <c r="D69" s="8">
        <f t="shared" si="3"/>
        <v>29.4413516521453</v>
      </c>
      <c r="F69" s="25">
        <v>303.42690205574002</v>
      </c>
      <c r="H69" s="128">
        <v>3.0283346176147399</v>
      </c>
    </row>
    <row r="70" spans="1:8" x14ac:dyDescent="0.2">
      <c r="A70" s="26" t="s">
        <v>28</v>
      </c>
      <c r="B70" s="13">
        <f>G68+4</f>
        <v>4</v>
      </c>
      <c r="C70" s="128">
        <v>189.98377585411001</v>
      </c>
      <c r="D70" s="8">
        <f t="shared" si="3"/>
        <v>185.98377585411001</v>
      </c>
      <c r="F70" s="25">
        <v>417.056456804275</v>
      </c>
    </row>
    <row r="71" spans="1:8" ht="17" thickBot="1" x14ac:dyDescent="0.25">
      <c r="A71" s="26" t="s">
        <v>29</v>
      </c>
      <c r="B71" s="13">
        <f>B70+20</f>
        <v>24</v>
      </c>
      <c r="C71" s="128">
        <v>201.172167062759</v>
      </c>
      <c r="D71" s="8">
        <f t="shared" si="3"/>
        <v>177.172167062759</v>
      </c>
      <c r="F71" s="29">
        <v>551.075005292892</v>
      </c>
    </row>
    <row r="72" spans="1:8" x14ac:dyDescent="0.2">
      <c r="A72" s="26" t="s">
        <v>16</v>
      </c>
      <c r="B72" s="13">
        <f>B71+20</f>
        <v>44</v>
      </c>
      <c r="C72" s="4">
        <v>222.345892906188</v>
      </c>
      <c r="D72" s="8">
        <f t="shared" si="3"/>
        <v>178.345892906188</v>
      </c>
    </row>
    <row r="73" spans="1:8" x14ac:dyDescent="0.2">
      <c r="A73" s="26" t="s">
        <v>30</v>
      </c>
      <c r="B73" s="13">
        <f>G69+4</f>
        <v>4</v>
      </c>
      <c r="C73" s="128">
        <v>312.68520689010597</v>
      </c>
      <c r="D73" s="8">
        <f t="shared" si="3"/>
        <v>308.68520689010597</v>
      </c>
    </row>
    <row r="74" spans="1:8" x14ac:dyDescent="0.2">
      <c r="A74" s="26" t="s">
        <v>31</v>
      </c>
      <c r="B74" s="13">
        <f>B73+20</f>
        <v>24</v>
      </c>
      <c r="C74" s="128">
        <v>334.61247706413201</v>
      </c>
      <c r="D74" s="8">
        <f t="shared" si="3"/>
        <v>310.61247706413201</v>
      </c>
      <c r="F74" s="118" t="s">
        <v>222</v>
      </c>
    </row>
    <row r="75" spans="1:8" x14ac:dyDescent="0.2">
      <c r="A75" s="26" t="s">
        <v>19</v>
      </c>
      <c r="B75" s="13">
        <f>B74+20</f>
        <v>44</v>
      </c>
      <c r="C75" s="4">
        <v>352.127880811691</v>
      </c>
      <c r="D75" s="8">
        <f t="shared" si="3"/>
        <v>308.127880811691</v>
      </c>
      <c r="F75" s="118">
        <v>0.8</v>
      </c>
    </row>
    <row r="76" spans="1:8" x14ac:dyDescent="0.2">
      <c r="A76" s="26" t="s">
        <v>32</v>
      </c>
      <c r="B76" s="13">
        <f>G70+4</f>
        <v>4</v>
      </c>
      <c r="C76" s="128">
        <v>435.15427684783901</v>
      </c>
      <c r="D76" s="8">
        <f t="shared" si="3"/>
        <v>431.15427684783901</v>
      </c>
    </row>
    <row r="77" spans="1:8" x14ac:dyDescent="0.2">
      <c r="A77" s="26" t="s">
        <v>22</v>
      </c>
      <c r="B77" s="13">
        <f>B76+20</f>
        <v>24</v>
      </c>
      <c r="C77" s="17" t="b">
        <f>FALSE</f>
        <v>0</v>
      </c>
      <c r="D77" s="8" t="b">
        <f t="shared" si="3"/>
        <v>0</v>
      </c>
    </row>
    <row r="78" spans="1:8" x14ac:dyDescent="0.2">
      <c r="A78" s="26" t="s">
        <v>33</v>
      </c>
      <c r="B78" s="13">
        <f>B77+20</f>
        <v>44</v>
      </c>
      <c r="C78" s="128">
        <v>471.68390321731499</v>
      </c>
      <c r="D78" s="8">
        <f t="shared" si="3"/>
        <v>427.68390321731499</v>
      </c>
    </row>
    <row r="79" spans="1:8" x14ac:dyDescent="0.2">
      <c r="A79" s="26" t="s">
        <v>34</v>
      </c>
      <c r="B79" s="13">
        <f>G71+4</f>
        <v>4</v>
      </c>
      <c r="C79" s="128">
        <v>562.85486006736699</v>
      </c>
      <c r="D79" s="8">
        <f t="shared" si="3"/>
        <v>558.85486006736699</v>
      </c>
    </row>
    <row r="80" spans="1:8" x14ac:dyDescent="0.2">
      <c r="A80" s="26" t="s">
        <v>35</v>
      </c>
      <c r="B80" s="13">
        <f>B79+20</f>
        <v>24</v>
      </c>
      <c r="C80" s="128" t="b">
        <v>1</v>
      </c>
      <c r="D80" s="8"/>
    </row>
    <row r="81" spans="1:8" ht="17" thickBot="1" x14ac:dyDescent="0.25">
      <c r="A81" s="33" t="s">
        <v>36</v>
      </c>
      <c r="B81" s="14">
        <f>B80+20</f>
        <v>44</v>
      </c>
      <c r="C81" s="19">
        <v>601.07959961891095</v>
      </c>
      <c r="D81" s="8">
        <f t="shared" si="3"/>
        <v>557.07959961891095</v>
      </c>
    </row>
    <row r="82" spans="1:8" x14ac:dyDescent="0.2">
      <c r="A82" s="128"/>
      <c r="B82" s="128" t="s">
        <v>53</v>
      </c>
      <c r="C82" s="128">
        <v>4</v>
      </c>
      <c r="D82" s="128"/>
    </row>
    <row r="83" spans="1:8" x14ac:dyDescent="0.2">
      <c r="A83" s="128"/>
      <c r="B83" s="128"/>
      <c r="C83" s="128"/>
      <c r="D83" s="128"/>
    </row>
    <row r="84" spans="1:8" x14ac:dyDescent="0.2">
      <c r="A84" s="128"/>
      <c r="B84" s="128"/>
      <c r="C84" s="128"/>
      <c r="D84" s="128"/>
    </row>
    <row r="85" spans="1:8" x14ac:dyDescent="0.2">
      <c r="A85" s="128"/>
      <c r="B85" s="128"/>
      <c r="C85" s="128"/>
      <c r="D85" s="128"/>
    </row>
    <row r="86" spans="1:8" x14ac:dyDescent="0.2">
      <c r="A86" s="128"/>
      <c r="B86" s="128"/>
      <c r="C86" s="128"/>
      <c r="D86" s="128"/>
    </row>
    <row r="87" spans="1:8" x14ac:dyDescent="0.2">
      <c r="A87" s="128"/>
      <c r="B87" s="128"/>
      <c r="C87" s="128"/>
      <c r="D87" s="128"/>
    </row>
    <row r="88" spans="1:8" ht="17" thickBot="1" x14ac:dyDescent="0.25">
      <c r="A88" s="128" t="s">
        <v>228</v>
      </c>
      <c r="B88" s="128"/>
      <c r="C88" s="128"/>
      <c r="D88" s="128"/>
    </row>
    <row r="89" spans="1:8" ht="17" thickBot="1" x14ac:dyDescent="0.25">
      <c r="A89" s="128">
        <v>5</v>
      </c>
      <c r="B89" s="20" t="s">
        <v>45</v>
      </c>
      <c r="C89" s="21" t="s">
        <v>46</v>
      </c>
      <c r="D89" s="22" t="s">
        <v>47</v>
      </c>
      <c r="F89" s="23" t="s">
        <v>0</v>
      </c>
    </row>
    <row r="90" spans="1:8" x14ac:dyDescent="0.2">
      <c r="A90" s="24" t="s">
        <v>26</v>
      </c>
      <c r="B90" s="30">
        <f>G90+4-I90</f>
        <v>4</v>
      </c>
      <c r="C90" s="17" t="b">
        <f>FALSE</f>
        <v>0</v>
      </c>
      <c r="D90" s="8" t="b">
        <f>IF(C90,C90-B90,FALSE)</f>
        <v>0</v>
      </c>
      <c r="F90" s="25">
        <v>21.902237415313699</v>
      </c>
    </row>
    <row r="91" spans="1:8" x14ac:dyDescent="0.2">
      <c r="A91" s="26" t="s">
        <v>27</v>
      </c>
      <c r="B91" s="13">
        <f>B90+20</f>
        <v>24</v>
      </c>
      <c r="C91" s="128">
        <v>47.8077166080474</v>
      </c>
      <c r="D91" s="8">
        <f t="shared" ref="D91:D104" si="4">IF(C91,C91-B91,FALSE)</f>
        <v>23.8077166080474</v>
      </c>
      <c r="F91" s="25">
        <v>150.59386420249899</v>
      </c>
      <c r="H91" s="128" t="s">
        <v>5</v>
      </c>
    </row>
    <row r="92" spans="1:8" x14ac:dyDescent="0.2">
      <c r="A92" s="26" t="s">
        <v>13</v>
      </c>
      <c r="B92" s="13">
        <f>B91+20</f>
        <v>44</v>
      </c>
      <c r="C92" s="4">
        <v>67.0823011398315</v>
      </c>
      <c r="D92" s="8">
        <f t="shared" si="4"/>
        <v>23.0823011398315</v>
      </c>
      <c r="F92" s="25">
        <v>283.754412174224</v>
      </c>
      <c r="H92" s="128">
        <v>3.0586199760436998</v>
      </c>
    </row>
    <row r="93" spans="1:8" x14ac:dyDescent="0.2">
      <c r="A93" s="26" t="s">
        <v>28</v>
      </c>
      <c r="B93" s="13">
        <f>G91+4</f>
        <v>4</v>
      </c>
      <c r="C93" s="128">
        <v>159.36325931549001</v>
      </c>
      <c r="D93" s="8">
        <f t="shared" si="4"/>
        <v>155.36325931549001</v>
      </c>
      <c r="F93" s="25">
        <v>414.13445186614899</v>
      </c>
    </row>
    <row r="94" spans="1:8" ht="17" thickBot="1" x14ac:dyDescent="0.25">
      <c r="A94" s="26" t="s">
        <v>29</v>
      </c>
      <c r="B94" s="13">
        <f>B93+20</f>
        <v>24</v>
      </c>
      <c r="C94" s="128" t="b">
        <v>0</v>
      </c>
      <c r="D94" s="8" t="b">
        <f t="shared" si="4"/>
        <v>0</v>
      </c>
      <c r="F94" s="29">
        <v>559.19296598434403</v>
      </c>
    </row>
    <row r="95" spans="1:8" x14ac:dyDescent="0.2">
      <c r="A95" s="26" t="s">
        <v>16</v>
      </c>
      <c r="B95" s="13">
        <f>B94+20</f>
        <v>44</v>
      </c>
      <c r="C95" s="17" t="b">
        <f>FALSE</f>
        <v>0</v>
      </c>
      <c r="D95" s="8" t="b">
        <f t="shared" si="4"/>
        <v>0</v>
      </c>
    </row>
    <row r="96" spans="1:8" x14ac:dyDescent="0.2">
      <c r="A96" s="26" t="s">
        <v>30</v>
      </c>
      <c r="B96" s="13">
        <f>G92+4</f>
        <v>4</v>
      </c>
      <c r="C96" s="128">
        <v>292.66022872924799</v>
      </c>
      <c r="D96" s="8">
        <f t="shared" si="4"/>
        <v>288.66022872924799</v>
      </c>
    </row>
    <row r="97" spans="1:6" x14ac:dyDescent="0.2">
      <c r="A97" s="26" t="s">
        <v>31</v>
      </c>
      <c r="B97" s="13">
        <f>B96+20</f>
        <v>24</v>
      </c>
      <c r="C97" s="128">
        <v>318.77389836311301</v>
      </c>
      <c r="D97" s="8">
        <f t="shared" si="4"/>
        <v>294.77389836311301</v>
      </c>
    </row>
    <row r="98" spans="1:6" x14ac:dyDescent="0.2">
      <c r="A98" s="26" t="s">
        <v>19</v>
      </c>
      <c r="B98" s="13">
        <f>B97+20</f>
        <v>44</v>
      </c>
      <c r="C98" s="4">
        <v>334.63321113586397</v>
      </c>
      <c r="D98" s="8">
        <f t="shared" si="4"/>
        <v>290.63321113586397</v>
      </c>
      <c r="F98" s="118" t="s">
        <v>222</v>
      </c>
    </row>
    <row r="99" spans="1:6" x14ac:dyDescent="0.2">
      <c r="A99" s="26" t="s">
        <v>32</v>
      </c>
      <c r="B99" s="13">
        <f>G93+4</f>
        <v>4</v>
      </c>
      <c r="C99" s="128" t="b">
        <v>0</v>
      </c>
      <c r="D99" s="8" t="b">
        <f t="shared" si="4"/>
        <v>0</v>
      </c>
      <c r="F99" s="118">
        <v>0.6</v>
      </c>
    </row>
    <row r="100" spans="1:6" x14ac:dyDescent="0.2">
      <c r="A100" s="26" t="s">
        <v>22</v>
      </c>
      <c r="B100" s="13">
        <f>B99+20</f>
        <v>24</v>
      </c>
      <c r="C100" s="17" t="b">
        <f>FALSE</f>
        <v>0</v>
      </c>
      <c r="D100" s="8" t="b">
        <f t="shared" si="4"/>
        <v>0</v>
      </c>
    </row>
    <row r="101" spans="1:6" x14ac:dyDescent="0.2">
      <c r="A101" s="26" t="s">
        <v>33</v>
      </c>
      <c r="B101" s="13">
        <f>B100+20</f>
        <v>44</v>
      </c>
      <c r="C101" s="128">
        <v>472.67509412765497</v>
      </c>
      <c r="D101" s="8">
        <f t="shared" si="4"/>
        <v>428.67509412765497</v>
      </c>
    </row>
    <row r="102" spans="1:6" x14ac:dyDescent="0.2">
      <c r="A102" s="26" t="s">
        <v>34</v>
      </c>
      <c r="B102" s="13">
        <f>G94+4</f>
        <v>4</v>
      </c>
      <c r="C102" s="128">
        <v>577.24762415885903</v>
      </c>
      <c r="D102" s="8">
        <f t="shared" si="4"/>
        <v>573.24762415885903</v>
      </c>
    </row>
    <row r="103" spans="1:6" x14ac:dyDescent="0.2">
      <c r="A103" s="26" t="s">
        <v>35</v>
      </c>
      <c r="B103" s="13">
        <f>B102+20</f>
        <v>24</v>
      </c>
      <c r="C103" s="128">
        <v>597.40901112556401</v>
      </c>
      <c r="D103" s="8">
        <f t="shared" si="4"/>
        <v>573.40901112556401</v>
      </c>
    </row>
    <row r="104" spans="1:6" ht="17" thickBot="1" x14ac:dyDescent="0.25">
      <c r="A104" s="33" t="s">
        <v>36</v>
      </c>
      <c r="B104" s="14">
        <f>B103+20</f>
        <v>44</v>
      </c>
      <c r="C104" s="19">
        <v>609.27165508270195</v>
      </c>
      <c r="D104" s="8">
        <f t="shared" si="4"/>
        <v>565.27165508270195</v>
      </c>
    </row>
    <row r="105" spans="1:6" x14ac:dyDescent="0.2">
      <c r="A105" s="128"/>
      <c r="B105" s="128" t="s">
        <v>53</v>
      </c>
      <c r="C105" s="128">
        <v>2</v>
      </c>
      <c r="D105" s="128"/>
    </row>
    <row r="106" spans="1:6" x14ac:dyDescent="0.2">
      <c r="A106" s="128"/>
      <c r="B106" s="128"/>
      <c r="C106" s="128"/>
      <c r="D106" s="128"/>
    </row>
    <row r="107" spans="1:6" x14ac:dyDescent="0.2">
      <c r="A107" s="128"/>
      <c r="B107" s="128"/>
      <c r="C107" s="128"/>
      <c r="D107" s="128"/>
    </row>
    <row r="108" spans="1:6" x14ac:dyDescent="0.2">
      <c r="A108" s="128"/>
      <c r="B108" s="128"/>
      <c r="C108" s="128"/>
      <c r="D108" s="128"/>
    </row>
    <row r="109" spans="1:6" x14ac:dyDescent="0.2">
      <c r="A109" s="128"/>
      <c r="B109" s="128"/>
      <c r="C109" s="128"/>
      <c r="D109" s="128"/>
    </row>
    <row r="110" spans="1:6" x14ac:dyDescent="0.2">
      <c r="A110" s="128"/>
      <c r="B110" s="128"/>
      <c r="C110" s="128"/>
      <c r="D110" s="128"/>
    </row>
    <row r="111" spans="1:6" x14ac:dyDescent="0.2">
      <c r="A111" s="128"/>
      <c r="B111" s="128"/>
      <c r="C111" s="128"/>
      <c r="D111" s="128"/>
    </row>
    <row r="112" spans="1:6" x14ac:dyDescent="0.2">
      <c r="A112" s="128"/>
      <c r="B112" s="128"/>
      <c r="C112" s="128"/>
      <c r="D112" s="128"/>
    </row>
    <row r="113" spans="1:8" x14ac:dyDescent="0.2">
      <c r="A113" s="128"/>
      <c r="B113" s="128"/>
      <c r="C113" s="128"/>
      <c r="D113" s="128"/>
    </row>
    <row r="114" spans="1:8" x14ac:dyDescent="0.2">
      <c r="A114" s="128"/>
      <c r="B114" s="128"/>
      <c r="C114" s="128"/>
      <c r="D114" s="128"/>
    </row>
    <row r="115" spans="1:8" x14ac:dyDescent="0.2">
      <c r="A115" s="128"/>
      <c r="B115" s="128"/>
      <c r="C115" s="128"/>
      <c r="D115" s="128"/>
    </row>
    <row r="116" spans="1:8" ht="17" thickBot="1" x14ac:dyDescent="0.25">
      <c r="A116" s="128" t="s">
        <v>229</v>
      </c>
      <c r="B116" s="128"/>
      <c r="C116" s="128"/>
      <c r="D116" s="128"/>
    </row>
    <row r="117" spans="1:8" ht="17" thickBot="1" x14ac:dyDescent="0.25">
      <c r="A117" s="128">
        <v>6</v>
      </c>
      <c r="B117" s="20" t="s">
        <v>45</v>
      </c>
      <c r="C117" s="21" t="s">
        <v>46</v>
      </c>
      <c r="D117" s="22" t="s">
        <v>47</v>
      </c>
      <c r="F117" s="23" t="s">
        <v>0</v>
      </c>
    </row>
    <row r="118" spans="1:8" x14ac:dyDescent="0.2">
      <c r="A118" s="34" t="s">
        <v>11</v>
      </c>
      <c r="B118" s="38">
        <f>G118+4-I118</f>
        <v>4</v>
      </c>
      <c r="C118" s="39">
        <v>52.086494207382202</v>
      </c>
      <c r="D118" s="8">
        <f>IF(C118,C118-B118,FALSE)</f>
        <v>48.086494207382202</v>
      </c>
      <c r="F118" s="25">
        <v>42.908055543899501</v>
      </c>
    </row>
    <row r="119" spans="1:8" x14ac:dyDescent="0.2">
      <c r="A119" s="35" t="s">
        <v>12</v>
      </c>
      <c r="B119" s="9">
        <f>B118+20</f>
        <v>24</v>
      </c>
      <c r="C119" s="8" t="b">
        <f>FALSE</f>
        <v>0</v>
      </c>
      <c r="D119" s="8" t="b">
        <f t="shared" ref="D119:D132" si="5">IF(C119,C119-B119,FALSE)</f>
        <v>0</v>
      </c>
      <c r="F119" s="25">
        <v>173.66854763031</v>
      </c>
      <c r="H119" s="128" t="s">
        <v>5</v>
      </c>
    </row>
    <row r="120" spans="1:8" x14ac:dyDescent="0.2">
      <c r="A120" s="26" t="s">
        <v>13</v>
      </c>
      <c r="B120" s="9">
        <f>B119+20</f>
        <v>44</v>
      </c>
      <c r="C120" s="5">
        <v>87.050883769988999</v>
      </c>
      <c r="D120" s="8">
        <f t="shared" si="5"/>
        <v>43.050883769988999</v>
      </c>
      <c r="F120" s="25">
        <v>306.17511320114102</v>
      </c>
      <c r="H120" s="128">
        <v>3.03148341178894</v>
      </c>
    </row>
    <row r="121" spans="1:8" x14ac:dyDescent="0.2">
      <c r="A121" s="35" t="s">
        <v>14</v>
      </c>
      <c r="B121" s="9">
        <f>G119+4</f>
        <v>4</v>
      </c>
      <c r="C121" s="6">
        <v>185.60266304016099</v>
      </c>
      <c r="D121" s="8">
        <f t="shared" si="5"/>
        <v>181.60266304016099</v>
      </c>
      <c r="F121" s="25">
        <v>417.73468542098999</v>
      </c>
    </row>
    <row r="122" spans="1:8" ht="17" thickBot="1" x14ac:dyDescent="0.25">
      <c r="A122" s="35" t="s">
        <v>15</v>
      </c>
      <c r="B122" s="9">
        <f>B121+20</f>
        <v>24</v>
      </c>
      <c r="C122" s="6">
        <v>205.52820324897701</v>
      </c>
      <c r="D122" s="8">
        <f t="shared" si="5"/>
        <v>181.52820324897701</v>
      </c>
      <c r="F122" s="29">
        <v>538.36709046363796</v>
      </c>
    </row>
    <row r="123" spans="1:8" x14ac:dyDescent="0.2">
      <c r="A123" s="26" t="s">
        <v>16</v>
      </c>
      <c r="B123" s="9">
        <f>B122+20</f>
        <v>44</v>
      </c>
      <c r="C123" s="5">
        <v>220.81335544586099</v>
      </c>
      <c r="D123" s="8">
        <f t="shared" si="5"/>
        <v>176.81335544586099</v>
      </c>
    </row>
    <row r="124" spans="1:8" x14ac:dyDescent="0.2">
      <c r="A124" s="35" t="s">
        <v>17</v>
      </c>
      <c r="B124" s="9">
        <f>G120+4</f>
        <v>4</v>
      </c>
      <c r="C124" s="7" t="b">
        <f>FALSE</f>
        <v>0</v>
      </c>
      <c r="D124" s="8" t="b">
        <f t="shared" si="5"/>
        <v>0</v>
      </c>
    </row>
    <row r="125" spans="1:8" x14ac:dyDescent="0.2">
      <c r="A125" s="35" t="s">
        <v>18</v>
      </c>
      <c r="B125" s="9">
        <f>B124+20</f>
        <v>24</v>
      </c>
      <c r="C125" s="7" t="b">
        <f>FALSE</f>
        <v>0</v>
      </c>
      <c r="D125" s="8" t="b">
        <f t="shared" si="5"/>
        <v>0</v>
      </c>
    </row>
    <row r="126" spans="1:8" x14ac:dyDescent="0.2">
      <c r="A126" s="26" t="s">
        <v>19</v>
      </c>
      <c r="B126" s="9">
        <f>B125+20</f>
        <v>44</v>
      </c>
      <c r="C126" s="5">
        <v>367.984219789505</v>
      </c>
      <c r="D126" s="8">
        <f t="shared" si="5"/>
        <v>323.984219789505</v>
      </c>
      <c r="F126" s="118" t="s">
        <v>222</v>
      </c>
    </row>
    <row r="127" spans="1:8" x14ac:dyDescent="0.2">
      <c r="A127" s="35" t="s">
        <v>20</v>
      </c>
      <c r="B127" s="9">
        <f>G121+4</f>
        <v>4</v>
      </c>
      <c r="C127" s="7" t="b">
        <f>FALSE</f>
        <v>0</v>
      </c>
      <c r="D127" s="8" t="b">
        <f t="shared" si="5"/>
        <v>0</v>
      </c>
      <c r="F127" s="118">
        <v>0.8</v>
      </c>
    </row>
    <row r="128" spans="1:8" x14ac:dyDescent="0.2">
      <c r="A128" s="35" t="s">
        <v>21</v>
      </c>
      <c r="B128" s="9">
        <f>B127+20</f>
        <v>24</v>
      </c>
      <c r="C128" s="7" t="b">
        <f>FALSE</f>
        <v>0</v>
      </c>
      <c r="D128" s="8" t="b">
        <f t="shared" si="5"/>
        <v>0</v>
      </c>
    </row>
    <row r="129" spans="1:8" x14ac:dyDescent="0.2">
      <c r="A129" s="26" t="s">
        <v>22</v>
      </c>
      <c r="B129" s="9">
        <f>B128+20</f>
        <v>44</v>
      </c>
      <c r="C129" s="5">
        <v>476.010442018508</v>
      </c>
      <c r="D129" s="8">
        <f t="shared" si="5"/>
        <v>432.010442018508</v>
      </c>
    </row>
    <row r="130" spans="1:8" x14ac:dyDescent="0.2">
      <c r="A130" s="35" t="s">
        <v>23</v>
      </c>
      <c r="B130" s="9">
        <f>G122+4</f>
        <v>4</v>
      </c>
      <c r="C130" s="7" t="b">
        <f>FALSE</f>
        <v>0</v>
      </c>
      <c r="D130" s="8" t="b">
        <f t="shared" si="5"/>
        <v>0</v>
      </c>
    </row>
    <row r="131" spans="1:8" x14ac:dyDescent="0.2">
      <c r="A131" s="35" t="s">
        <v>24</v>
      </c>
      <c r="B131" s="9">
        <f>B130+20</f>
        <v>24</v>
      </c>
      <c r="C131" s="6">
        <v>580.224755764007</v>
      </c>
      <c r="D131" s="8">
        <f t="shared" si="5"/>
        <v>556.224755764007</v>
      </c>
    </row>
    <row r="132" spans="1:8" ht="17" thickBot="1" x14ac:dyDescent="0.25">
      <c r="A132" s="33" t="s">
        <v>25</v>
      </c>
      <c r="B132" s="10">
        <f>B131+20</f>
        <v>44</v>
      </c>
      <c r="C132" s="37" t="b">
        <f>FALSE</f>
        <v>0</v>
      </c>
      <c r="D132" s="8">
        <v>20</v>
      </c>
    </row>
    <row r="133" spans="1:8" x14ac:dyDescent="0.2">
      <c r="A133" s="128"/>
      <c r="B133" s="128" t="s">
        <v>53</v>
      </c>
      <c r="C133" s="128">
        <v>4</v>
      </c>
      <c r="D133" s="128"/>
    </row>
    <row r="134" spans="1:8" x14ac:dyDescent="0.2">
      <c r="A134" s="128"/>
      <c r="B134" s="128"/>
      <c r="C134" s="128"/>
      <c r="D134" s="128"/>
    </row>
    <row r="135" spans="1:8" x14ac:dyDescent="0.2">
      <c r="A135" s="128"/>
      <c r="B135" s="128"/>
      <c r="C135" s="128"/>
      <c r="D135" s="128"/>
    </row>
    <row r="136" spans="1:8" x14ac:dyDescent="0.2">
      <c r="A136" s="128"/>
      <c r="B136" s="128"/>
      <c r="C136" s="128"/>
      <c r="D136" s="128"/>
    </row>
    <row r="137" spans="1:8" x14ac:dyDescent="0.2">
      <c r="A137" s="128"/>
      <c r="B137" s="128"/>
      <c r="C137" s="128"/>
      <c r="D137" s="128"/>
    </row>
    <row r="138" spans="1:8" ht="17" thickBot="1" x14ac:dyDescent="0.25">
      <c r="A138" s="118" t="s">
        <v>229</v>
      </c>
      <c r="B138" s="128"/>
      <c r="C138" s="128"/>
      <c r="D138" s="128"/>
    </row>
    <row r="139" spans="1:8" ht="17" thickBot="1" x14ac:dyDescent="0.25">
      <c r="A139" s="128">
        <v>7</v>
      </c>
      <c r="B139" s="20" t="s">
        <v>45</v>
      </c>
      <c r="C139" s="21" t="s">
        <v>46</v>
      </c>
      <c r="D139" s="22" t="s">
        <v>47</v>
      </c>
      <c r="F139" s="23" t="s">
        <v>0</v>
      </c>
    </row>
    <row r="140" spans="1:8" x14ac:dyDescent="0.2">
      <c r="A140" s="34" t="s">
        <v>11</v>
      </c>
      <c r="B140" s="38">
        <f>G140+4-I140</f>
        <v>4</v>
      </c>
      <c r="C140" s="39">
        <v>37.833777666091898</v>
      </c>
      <c r="D140" s="8">
        <f>IF(C140,C140-B140,FALSE)</f>
        <v>33.833777666091898</v>
      </c>
      <c r="F140" s="25">
        <v>28.995989561080901</v>
      </c>
    </row>
    <row r="141" spans="1:8" x14ac:dyDescent="0.2">
      <c r="A141" s="35" t="s">
        <v>12</v>
      </c>
      <c r="B141" s="9">
        <f>B140+20</f>
        <v>24</v>
      </c>
      <c r="C141" s="7" t="b">
        <f>FALSE</f>
        <v>0</v>
      </c>
      <c r="D141" s="8" t="b">
        <f t="shared" ref="D141:D154" si="6">IF(C141,C141-B141,FALSE)</f>
        <v>0</v>
      </c>
      <c r="F141" s="25">
        <v>167.21888422966001</v>
      </c>
      <c r="H141" s="128" t="s">
        <v>5</v>
      </c>
    </row>
    <row r="142" spans="1:8" x14ac:dyDescent="0.2">
      <c r="A142" s="26" t="s">
        <v>13</v>
      </c>
      <c r="B142" s="9">
        <f>B141+20</f>
        <v>44</v>
      </c>
      <c r="C142" s="17" t="b">
        <f>FALSE</f>
        <v>0</v>
      </c>
      <c r="D142" s="8" t="b">
        <f t="shared" si="6"/>
        <v>0</v>
      </c>
      <c r="F142" s="25">
        <v>293.92427802085803</v>
      </c>
      <c r="H142" s="128">
        <v>3.02834129333496</v>
      </c>
    </row>
    <row r="143" spans="1:8" x14ac:dyDescent="0.2">
      <c r="A143" s="35" t="s">
        <v>14</v>
      </c>
      <c r="B143" s="9">
        <f>G141+4</f>
        <v>4</v>
      </c>
      <c r="C143" s="7" t="b">
        <f>FALSE</f>
        <v>0</v>
      </c>
      <c r="D143" s="8" t="b">
        <f t="shared" si="6"/>
        <v>0</v>
      </c>
      <c r="F143" s="25">
        <v>423.97604322433398</v>
      </c>
    </row>
    <row r="144" spans="1:8" ht="17" thickBot="1" x14ac:dyDescent="0.25">
      <c r="A144" s="35" t="s">
        <v>15</v>
      </c>
      <c r="B144" s="9">
        <f>B143+20</f>
        <v>24</v>
      </c>
      <c r="C144" s="7" t="b">
        <f>FALSE</f>
        <v>0</v>
      </c>
      <c r="D144" s="8" t="b">
        <f t="shared" si="6"/>
        <v>0</v>
      </c>
      <c r="F144" s="29">
        <v>538.37186956405606</v>
      </c>
    </row>
    <row r="145" spans="1:6" x14ac:dyDescent="0.2">
      <c r="A145" s="26" t="s">
        <v>16</v>
      </c>
      <c r="B145" s="9">
        <f>B144+20</f>
        <v>44</v>
      </c>
      <c r="C145" s="5">
        <v>215.07086849212601</v>
      </c>
      <c r="D145" s="8">
        <f t="shared" si="6"/>
        <v>171.07086849212601</v>
      </c>
    </row>
    <row r="146" spans="1:6" x14ac:dyDescent="0.2">
      <c r="A146" s="35" t="s">
        <v>17</v>
      </c>
      <c r="B146" s="9">
        <f>G142+4</f>
        <v>4</v>
      </c>
      <c r="C146" s="7" t="b">
        <f>FALSE</f>
        <v>0</v>
      </c>
      <c r="D146" s="8" t="b">
        <f t="shared" si="6"/>
        <v>0</v>
      </c>
    </row>
    <row r="147" spans="1:6" x14ac:dyDescent="0.2">
      <c r="A147" s="35" t="s">
        <v>18</v>
      </c>
      <c r="B147" s="9">
        <f>B146+20</f>
        <v>24</v>
      </c>
      <c r="C147" s="7" t="b">
        <f>FALSE</f>
        <v>0</v>
      </c>
      <c r="D147" s="8" t="b">
        <f t="shared" si="6"/>
        <v>0</v>
      </c>
    </row>
    <row r="148" spans="1:6" x14ac:dyDescent="0.2">
      <c r="A148" s="26" t="s">
        <v>19</v>
      </c>
      <c r="B148" s="9">
        <f>B147+20</f>
        <v>44</v>
      </c>
      <c r="C148" s="17" t="b">
        <v>0</v>
      </c>
      <c r="D148" s="8" t="b">
        <f t="shared" si="6"/>
        <v>0</v>
      </c>
    </row>
    <row r="149" spans="1:6" x14ac:dyDescent="0.2">
      <c r="A149" s="35" t="s">
        <v>20</v>
      </c>
      <c r="B149" s="9">
        <f>G143+4</f>
        <v>4</v>
      </c>
      <c r="C149" s="7" t="b">
        <f>FALSE</f>
        <v>0</v>
      </c>
      <c r="D149" s="8" t="b">
        <f t="shared" si="6"/>
        <v>0</v>
      </c>
      <c r="F149" s="118" t="s">
        <v>222</v>
      </c>
    </row>
    <row r="150" spans="1:6" x14ac:dyDescent="0.2">
      <c r="A150" s="35" t="s">
        <v>21</v>
      </c>
      <c r="B150" s="9">
        <f>B149+20</f>
        <v>24</v>
      </c>
      <c r="C150" s="7" t="b">
        <f>FALSE</f>
        <v>0</v>
      </c>
      <c r="D150" s="8" t="b">
        <f t="shared" si="6"/>
        <v>0</v>
      </c>
      <c r="F150" s="118">
        <v>0.2</v>
      </c>
    </row>
    <row r="151" spans="1:6" x14ac:dyDescent="0.2">
      <c r="A151" s="26" t="s">
        <v>22</v>
      </c>
      <c r="B151" s="9">
        <f>B150+20</f>
        <v>44</v>
      </c>
      <c r="C151" s="17" t="b">
        <v>0</v>
      </c>
      <c r="D151" s="8" t="b">
        <f t="shared" si="6"/>
        <v>0</v>
      </c>
    </row>
    <row r="152" spans="1:6" x14ac:dyDescent="0.2">
      <c r="A152" s="35" t="s">
        <v>23</v>
      </c>
      <c r="B152" s="9">
        <f>G144+4</f>
        <v>4</v>
      </c>
      <c r="C152" s="7" t="b">
        <f>FALSE</f>
        <v>0</v>
      </c>
      <c r="D152" s="8" t="b">
        <f t="shared" si="6"/>
        <v>0</v>
      </c>
    </row>
    <row r="153" spans="1:6" x14ac:dyDescent="0.2">
      <c r="A153" s="35" t="s">
        <v>24</v>
      </c>
      <c r="B153" s="9">
        <f>B152+20</f>
        <v>24</v>
      </c>
      <c r="C153" s="7" t="b">
        <v>0</v>
      </c>
      <c r="D153" s="8" t="b">
        <f t="shared" si="6"/>
        <v>0</v>
      </c>
    </row>
    <row r="154" spans="1:6" ht="17" thickBot="1" x14ac:dyDescent="0.25">
      <c r="A154" s="33" t="s">
        <v>25</v>
      </c>
      <c r="B154" s="10">
        <f>B153+20</f>
        <v>44</v>
      </c>
      <c r="C154" s="37" t="b">
        <f>FALSE</f>
        <v>0</v>
      </c>
      <c r="D154" s="8" t="b">
        <f t="shared" si="6"/>
        <v>0</v>
      </c>
    </row>
    <row r="155" spans="1:6" x14ac:dyDescent="0.2">
      <c r="A155" s="128"/>
      <c r="B155" s="128" t="s">
        <v>53</v>
      </c>
      <c r="C155" s="128">
        <v>1</v>
      </c>
      <c r="D155" s="128"/>
    </row>
    <row r="156" spans="1:6" x14ac:dyDescent="0.2">
      <c r="A156" s="128"/>
      <c r="B156" s="128"/>
      <c r="C156" s="128"/>
      <c r="D156" s="128"/>
    </row>
    <row r="157" spans="1:6" x14ac:dyDescent="0.2">
      <c r="A157" s="128"/>
      <c r="B157" s="128"/>
      <c r="C157" s="128"/>
      <c r="D157" s="128"/>
    </row>
    <row r="158" spans="1:6" x14ac:dyDescent="0.2">
      <c r="A158" s="128"/>
      <c r="B158" s="128"/>
      <c r="C158" s="128"/>
      <c r="D158" s="128"/>
    </row>
    <row r="159" spans="1:6" x14ac:dyDescent="0.2">
      <c r="A159" s="128"/>
      <c r="B159" s="128"/>
      <c r="C159" s="128"/>
      <c r="D159" s="128"/>
    </row>
    <row r="160" spans="1:6" x14ac:dyDescent="0.2">
      <c r="A160" s="128"/>
      <c r="B160" s="128"/>
      <c r="C160" s="128"/>
      <c r="D160" s="128"/>
    </row>
    <row r="161" spans="1:8" ht="17" thickBot="1" x14ac:dyDescent="0.25">
      <c r="A161" s="128" t="s">
        <v>228</v>
      </c>
      <c r="B161" s="128"/>
      <c r="C161" s="128"/>
      <c r="D161" s="128"/>
    </row>
    <row r="162" spans="1:8" ht="17" thickBot="1" x14ac:dyDescent="0.25">
      <c r="A162" s="128">
        <v>8</v>
      </c>
      <c r="B162" s="20" t="s">
        <v>45</v>
      </c>
      <c r="C162" s="21" t="s">
        <v>46</v>
      </c>
      <c r="D162" s="22" t="s">
        <v>47</v>
      </c>
      <c r="F162" s="23" t="s">
        <v>0</v>
      </c>
    </row>
    <row r="163" spans="1:8" x14ac:dyDescent="0.2">
      <c r="A163" s="24" t="s">
        <v>26</v>
      </c>
      <c r="B163" s="30">
        <f>G163+4-I163</f>
        <v>4</v>
      </c>
      <c r="C163" s="36">
        <v>42.705581188201897</v>
      </c>
      <c r="D163" s="8">
        <f>IF(C163,C163-B163,FALSE)</f>
        <v>38.705581188201897</v>
      </c>
      <c r="F163" s="25">
        <v>39.174118995666497</v>
      </c>
    </row>
    <row r="164" spans="1:8" x14ac:dyDescent="0.2">
      <c r="A164" s="26" t="s">
        <v>27</v>
      </c>
      <c r="B164" s="13">
        <f>B163+20</f>
        <v>24</v>
      </c>
      <c r="C164" s="128">
        <v>62.409225940704303</v>
      </c>
      <c r="D164" s="8">
        <f t="shared" ref="D164:D177" si="7">IF(C164,C164-B164,FALSE)</f>
        <v>38.409225940704303</v>
      </c>
      <c r="F164" s="25">
        <v>183.59444737434299</v>
      </c>
      <c r="H164" s="128" t="s">
        <v>5</v>
      </c>
    </row>
    <row r="165" spans="1:8" x14ac:dyDescent="0.2">
      <c r="A165" s="26" t="s">
        <v>13</v>
      </c>
      <c r="B165" s="13">
        <f>B164+20</f>
        <v>44</v>
      </c>
      <c r="C165" s="4">
        <v>83.612627029418903</v>
      </c>
      <c r="D165" s="8">
        <f t="shared" si="7"/>
        <v>39.612627029418903</v>
      </c>
      <c r="F165" s="25">
        <v>302.74664258956898</v>
      </c>
      <c r="H165" s="128">
        <v>3.0517988204956001</v>
      </c>
    </row>
    <row r="166" spans="1:8" x14ac:dyDescent="0.2">
      <c r="A166" s="26" t="s">
        <v>28</v>
      </c>
      <c r="B166" s="13">
        <f>G164+4</f>
        <v>4</v>
      </c>
      <c r="C166" s="8" t="b">
        <f>FALSE</f>
        <v>0</v>
      </c>
      <c r="D166" s="8" t="b">
        <f t="shared" si="7"/>
        <v>0</v>
      </c>
      <c r="F166" s="25">
        <v>431.21151447296103</v>
      </c>
    </row>
    <row r="167" spans="1:8" ht="17" thickBot="1" x14ac:dyDescent="0.25">
      <c r="A167" s="26" t="s">
        <v>29</v>
      </c>
      <c r="B167" s="13">
        <f>B166+20</f>
        <v>24</v>
      </c>
      <c r="C167" s="8" t="b">
        <f>FALSE</f>
        <v>0</v>
      </c>
      <c r="D167" s="8" t="b">
        <f t="shared" si="7"/>
        <v>0</v>
      </c>
      <c r="F167" s="29">
        <v>576.59997391700699</v>
      </c>
    </row>
    <row r="168" spans="1:8" x14ac:dyDescent="0.2">
      <c r="A168" s="26" t="s">
        <v>16</v>
      </c>
      <c r="B168" s="13">
        <f>B167+20</f>
        <v>44</v>
      </c>
      <c r="C168" s="95">
        <v>238.481380462646</v>
      </c>
      <c r="D168" s="8">
        <f t="shared" si="7"/>
        <v>194.481380462646</v>
      </c>
    </row>
    <row r="169" spans="1:8" x14ac:dyDescent="0.2">
      <c r="A169" s="26" t="s">
        <v>30</v>
      </c>
      <c r="B169" s="13">
        <f>G165+4</f>
        <v>4</v>
      </c>
      <c r="C169" s="128">
        <v>315.419896125793</v>
      </c>
      <c r="D169" s="8">
        <f t="shared" si="7"/>
        <v>311.419896125793</v>
      </c>
    </row>
    <row r="170" spans="1:8" x14ac:dyDescent="0.2">
      <c r="A170" s="26" t="s">
        <v>31</v>
      </c>
      <c r="B170" s="13">
        <f>B169+20</f>
        <v>24</v>
      </c>
      <c r="C170" s="128">
        <v>332.84414410591103</v>
      </c>
      <c r="D170" s="8">
        <f t="shared" si="7"/>
        <v>308.84414410591103</v>
      </c>
      <c r="F170" s="118" t="s">
        <v>222</v>
      </c>
    </row>
    <row r="171" spans="1:8" x14ac:dyDescent="0.2">
      <c r="A171" s="26" t="s">
        <v>19</v>
      </c>
      <c r="B171" s="13">
        <f>B170+20</f>
        <v>44</v>
      </c>
      <c r="C171" s="4">
        <v>350.68974089622498</v>
      </c>
      <c r="D171" s="8">
        <f t="shared" si="7"/>
        <v>306.68974089622498</v>
      </c>
      <c r="F171" s="118">
        <v>1</v>
      </c>
    </row>
    <row r="172" spans="1:8" x14ac:dyDescent="0.2">
      <c r="A172" s="26" t="s">
        <v>32</v>
      </c>
      <c r="B172" s="13">
        <f>G166+4</f>
        <v>4</v>
      </c>
      <c r="C172" s="128">
        <v>450.48910474777199</v>
      </c>
      <c r="D172" s="8">
        <f t="shared" si="7"/>
        <v>446.48910474777199</v>
      </c>
    </row>
    <row r="173" spans="1:8" x14ac:dyDescent="0.2">
      <c r="A173" s="26" t="s">
        <v>22</v>
      </c>
      <c r="B173" s="13">
        <f>B172+20</f>
        <v>24</v>
      </c>
      <c r="C173" s="5">
        <v>472.15616273879999</v>
      </c>
      <c r="D173" s="8">
        <f t="shared" si="7"/>
        <v>448.15616273879999</v>
      </c>
    </row>
    <row r="174" spans="1:8" x14ac:dyDescent="0.2">
      <c r="A174" s="26" t="s">
        <v>33</v>
      </c>
      <c r="B174" s="13">
        <f>B173+20</f>
        <v>44</v>
      </c>
      <c r="C174" s="128">
        <v>483.781031370162</v>
      </c>
      <c r="D174" s="8">
        <f t="shared" si="7"/>
        <v>439.781031370162</v>
      </c>
    </row>
    <row r="175" spans="1:8" x14ac:dyDescent="0.2">
      <c r="A175" s="26" t="s">
        <v>34</v>
      </c>
      <c r="B175" s="13">
        <f>G167+4</f>
        <v>4</v>
      </c>
      <c r="C175" s="128">
        <v>583.36385345458905</v>
      </c>
      <c r="D175" s="8">
        <f t="shared" si="7"/>
        <v>579.36385345458905</v>
      </c>
    </row>
    <row r="176" spans="1:8" x14ac:dyDescent="0.2">
      <c r="A176" s="26" t="s">
        <v>35</v>
      </c>
      <c r="B176" s="13">
        <f>B175+20</f>
        <v>24</v>
      </c>
      <c r="C176" s="128">
        <v>605.75016784667901</v>
      </c>
      <c r="D176" s="8">
        <f t="shared" si="7"/>
        <v>581.75016784667901</v>
      </c>
    </row>
    <row r="177" spans="1:8" ht="17" thickBot="1" x14ac:dyDescent="0.25">
      <c r="A177" s="33" t="s">
        <v>36</v>
      </c>
      <c r="B177" s="14">
        <f>B176+20</f>
        <v>44</v>
      </c>
      <c r="C177" s="19">
        <v>636.16708302497796</v>
      </c>
      <c r="D177" s="8">
        <f t="shared" si="7"/>
        <v>592.16708302497796</v>
      </c>
    </row>
    <row r="178" spans="1:8" x14ac:dyDescent="0.2">
      <c r="A178" s="128"/>
      <c r="B178" s="128" t="s">
        <v>53</v>
      </c>
      <c r="C178" s="128">
        <v>5</v>
      </c>
      <c r="D178" s="128"/>
    </row>
    <row r="179" spans="1:8" x14ac:dyDescent="0.2">
      <c r="A179" s="128"/>
      <c r="B179" s="128"/>
      <c r="C179" s="128"/>
      <c r="D179" s="128"/>
    </row>
    <row r="180" spans="1:8" x14ac:dyDescent="0.2">
      <c r="A180" s="128"/>
      <c r="B180" s="128"/>
      <c r="C180" s="128"/>
      <c r="D180" s="128"/>
    </row>
    <row r="181" spans="1:8" ht="17" thickBot="1" x14ac:dyDescent="0.25">
      <c r="A181" s="128"/>
      <c r="B181" s="128"/>
      <c r="C181" s="128"/>
      <c r="D181" s="128"/>
    </row>
    <row r="182" spans="1:8" ht="17" thickBot="1" x14ac:dyDescent="0.25">
      <c r="A182" s="128">
        <v>9</v>
      </c>
      <c r="B182" s="20" t="s">
        <v>45</v>
      </c>
      <c r="C182" s="21" t="s">
        <v>46</v>
      </c>
      <c r="D182" s="22" t="s">
        <v>47</v>
      </c>
      <c r="F182" s="23" t="s">
        <v>0</v>
      </c>
    </row>
    <row r="183" spans="1:8" x14ac:dyDescent="0.2">
      <c r="A183" s="34" t="s">
        <v>11</v>
      </c>
      <c r="B183" s="38">
        <f>G183+4-I183</f>
        <v>4</v>
      </c>
      <c r="C183" s="39">
        <v>62.740094184875403</v>
      </c>
      <c r="D183" s="8">
        <f>IF(C183,C183-B183,FALSE)</f>
        <v>58.740094184875403</v>
      </c>
      <c r="F183" s="25">
        <v>43.8336408138275</v>
      </c>
    </row>
    <row r="184" spans="1:8" x14ac:dyDescent="0.2">
      <c r="A184" s="35" t="s">
        <v>12</v>
      </c>
      <c r="B184" s="9">
        <f>B183+20</f>
        <v>24</v>
      </c>
      <c r="C184" s="7" t="b">
        <f>FALSE</f>
        <v>0</v>
      </c>
      <c r="D184" s="8" t="b">
        <f t="shared" ref="D184:D197" si="8">IF(C184,C184-B184,FALSE)</f>
        <v>0</v>
      </c>
      <c r="F184" s="25">
        <v>181.503553628921</v>
      </c>
      <c r="H184" s="128" t="s">
        <v>5</v>
      </c>
    </row>
    <row r="185" spans="1:8" x14ac:dyDescent="0.2">
      <c r="A185" s="26" t="s">
        <v>13</v>
      </c>
      <c r="B185" s="9">
        <f>B184+20</f>
        <v>44</v>
      </c>
      <c r="C185" s="5">
        <v>90.990144729614201</v>
      </c>
      <c r="D185" s="8">
        <f t="shared" si="8"/>
        <v>46.990144729614201</v>
      </c>
      <c r="F185" s="25">
        <v>300.577717304229</v>
      </c>
      <c r="H185" s="128">
        <v>3.0061254501342698</v>
      </c>
    </row>
    <row r="186" spans="1:8" x14ac:dyDescent="0.2">
      <c r="A186" s="35" t="s">
        <v>14</v>
      </c>
      <c r="B186" s="9">
        <f>G184+4</f>
        <v>4</v>
      </c>
      <c r="C186" s="7" t="b">
        <f>FALSE</f>
        <v>0</v>
      </c>
      <c r="D186" s="8" t="b">
        <f t="shared" si="8"/>
        <v>0</v>
      </c>
      <c r="F186" s="25">
        <v>425.91676235198901</v>
      </c>
    </row>
    <row r="187" spans="1:8" ht="17" thickBot="1" x14ac:dyDescent="0.25">
      <c r="A187" s="35" t="s">
        <v>15</v>
      </c>
      <c r="B187" s="9">
        <f>B186+20</f>
        <v>24</v>
      </c>
      <c r="C187" s="7" t="b">
        <f>FALSE</f>
        <v>0</v>
      </c>
      <c r="D187" s="8" t="b">
        <f t="shared" si="8"/>
        <v>0</v>
      </c>
      <c r="F187" s="29">
        <v>555.47611522674504</v>
      </c>
    </row>
    <row r="188" spans="1:8" x14ac:dyDescent="0.2">
      <c r="A188" s="26" t="s">
        <v>16</v>
      </c>
      <c r="B188" s="9">
        <f>B187+20</f>
        <v>44</v>
      </c>
      <c r="C188" s="5">
        <v>234.13086080551099</v>
      </c>
      <c r="D188" s="8">
        <f t="shared" si="8"/>
        <v>190.13086080551099</v>
      </c>
    </row>
    <row r="189" spans="1:8" x14ac:dyDescent="0.2">
      <c r="A189" s="35" t="s">
        <v>17</v>
      </c>
      <c r="B189" s="9">
        <f>G185+4</f>
        <v>4</v>
      </c>
      <c r="C189" s="7" t="b">
        <f>FALSE</f>
        <v>0</v>
      </c>
      <c r="D189" s="8" t="b">
        <f t="shared" si="8"/>
        <v>0</v>
      </c>
    </row>
    <row r="190" spans="1:8" x14ac:dyDescent="0.2">
      <c r="A190" s="35" t="s">
        <v>18</v>
      </c>
      <c r="B190" s="9">
        <f>B189+20</f>
        <v>24</v>
      </c>
      <c r="C190" s="7" t="b">
        <f>FALSE</f>
        <v>0</v>
      </c>
      <c r="D190" s="8" t="b">
        <f t="shared" si="8"/>
        <v>0</v>
      </c>
    </row>
    <row r="191" spans="1:8" x14ac:dyDescent="0.2">
      <c r="A191" s="26" t="s">
        <v>19</v>
      </c>
      <c r="B191" s="9">
        <f>B190+20</f>
        <v>44</v>
      </c>
      <c r="C191" s="17" t="b">
        <v>0</v>
      </c>
      <c r="D191" s="8" t="b">
        <f t="shared" si="8"/>
        <v>0</v>
      </c>
      <c r="F191" s="118" t="s">
        <v>222</v>
      </c>
    </row>
    <row r="192" spans="1:8" x14ac:dyDescent="0.2">
      <c r="A192" s="35" t="s">
        <v>20</v>
      </c>
      <c r="B192" s="9">
        <f>G186+4</f>
        <v>4</v>
      </c>
      <c r="C192" s="7" t="b">
        <f>FALSE</f>
        <v>0</v>
      </c>
      <c r="D192" s="8" t="b">
        <f t="shared" si="8"/>
        <v>0</v>
      </c>
      <c r="F192" s="118">
        <v>0.6</v>
      </c>
    </row>
    <row r="193" spans="1:8" x14ac:dyDescent="0.2">
      <c r="A193" s="35" t="s">
        <v>21</v>
      </c>
      <c r="B193" s="9">
        <f>B192+20</f>
        <v>24</v>
      </c>
      <c r="C193" s="7" t="b">
        <f>FALSE</f>
        <v>0</v>
      </c>
      <c r="D193" s="8" t="b">
        <f t="shared" si="8"/>
        <v>0</v>
      </c>
    </row>
    <row r="194" spans="1:8" x14ac:dyDescent="0.2">
      <c r="A194" s="26" t="s">
        <v>22</v>
      </c>
      <c r="B194" s="9">
        <f>B193+20</f>
        <v>44</v>
      </c>
      <c r="C194" s="5">
        <v>479.55431127548201</v>
      </c>
      <c r="D194" s="8">
        <f t="shared" si="8"/>
        <v>435.55431127548201</v>
      </c>
    </row>
    <row r="195" spans="1:8" x14ac:dyDescent="0.2">
      <c r="A195" s="35" t="s">
        <v>23</v>
      </c>
      <c r="B195" s="9">
        <f>G187+4</f>
        <v>4</v>
      </c>
      <c r="C195" s="7" t="b">
        <f>FALSE</f>
        <v>0</v>
      </c>
      <c r="D195" s="8" t="b">
        <f t="shared" si="8"/>
        <v>0</v>
      </c>
    </row>
    <row r="196" spans="1:8" x14ac:dyDescent="0.2">
      <c r="A196" s="35" t="s">
        <v>24</v>
      </c>
      <c r="B196" s="9">
        <f>B195+20</f>
        <v>24</v>
      </c>
      <c r="C196" s="7" t="b">
        <v>0</v>
      </c>
      <c r="D196" s="8" t="b">
        <f t="shared" si="8"/>
        <v>0</v>
      </c>
    </row>
    <row r="197" spans="1:8" ht="17" thickBot="1" x14ac:dyDescent="0.25">
      <c r="A197" s="33" t="s">
        <v>25</v>
      </c>
      <c r="B197" s="10">
        <f>B196+20</f>
        <v>44</v>
      </c>
      <c r="C197" s="37" t="b">
        <f>FALSE</f>
        <v>0</v>
      </c>
      <c r="D197" s="8" t="b">
        <f t="shared" si="8"/>
        <v>0</v>
      </c>
    </row>
    <row r="198" spans="1:8" x14ac:dyDescent="0.2">
      <c r="A198" s="128"/>
      <c r="B198" s="128" t="s">
        <v>53</v>
      </c>
      <c r="C198" s="128">
        <v>3</v>
      </c>
      <c r="D198" s="128"/>
    </row>
    <row r="199" spans="1:8" x14ac:dyDescent="0.2">
      <c r="A199" s="128"/>
      <c r="B199" s="128"/>
      <c r="C199" s="128"/>
      <c r="D199" s="128"/>
    </row>
    <row r="200" spans="1:8" x14ac:dyDescent="0.2">
      <c r="A200" s="128"/>
      <c r="B200" s="128"/>
      <c r="C200" s="128"/>
      <c r="D200" s="128"/>
    </row>
    <row r="201" spans="1:8" x14ac:dyDescent="0.2">
      <c r="A201" s="128"/>
      <c r="B201" s="128"/>
      <c r="C201" s="128"/>
      <c r="D201" s="128"/>
    </row>
    <row r="202" spans="1:8" ht="17" thickBot="1" x14ac:dyDescent="0.25">
      <c r="A202" s="128" t="s">
        <v>229</v>
      </c>
      <c r="B202" s="128"/>
      <c r="C202" s="128"/>
      <c r="D202" s="128"/>
    </row>
    <row r="203" spans="1:8" ht="17" thickBot="1" x14ac:dyDescent="0.25">
      <c r="A203" s="128">
        <v>10</v>
      </c>
      <c r="B203" s="20" t="s">
        <v>45</v>
      </c>
      <c r="C203" s="21" t="s">
        <v>46</v>
      </c>
      <c r="D203" s="22" t="s">
        <v>47</v>
      </c>
      <c r="F203" s="23" t="s">
        <v>0</v>
      </c>
    </row>
    <row r="204" spans="1:8" x14ac:dyDescent="0.2">
      <c r="A204" s="34" t="s">
        <v>11</v>
      </c>
      <c r="B204" s="38">
        <f>G204+4-I204</f>
        <v>4</v>
      </c>
      <c r="C204" s="39">
        <v>50.609383583068798</v>
      </c>
      <c r="D204" s="8">
        <f>IF(C204,C204-B204,FALSE)</f>
        <v>46.609383583068798</v>
      </c>
      <c r="F204" s="25">
        <v>38.010564804077099</v>
      </c>
    </row>
    <row r="205" spans="1:8" x14ac:dyDescent="0.2">
      <c r="A205" s="35" t="s">
        <v>12</v>
      </c>
      <c r="B205" s="9">
        <f>B204+20</f>
        <v>24</v>
      </c>
      <c r="C205" s="7" t="b">
        <f>FALSE</f>
        <v>0</v>
      </c>
      <c r="D205" s="8" t="b">
        <f t="shared" ref="D205:D218" si="9">IF(C205,C205-B205,FALSE)</f>
        <v>0</v>
      </c>
      <c r="F205" s="25">
        <v>177.85982465743999</v>
      </c>
      <c r="H205" s="128" t="s">
        <v>5</v>
      </c>
    </row>
    <row r="206" spans="1:8" x14ac:dyDescent="0.2">
      <c r="A206" s="26" t="s">
        <v>13</v>
      </c>
      <c r="B206" s="9">
        <f>B205+20</f>
        <v>44</v>
      </c>
      <c r="C206" s="5">
        <v>86.112001895904498</v>
      </c>
      <c r="D206" s="8">
        <f t="shared" si="9"/>
        <v>42.112001895904498</v>
      </c>
      <c r="F206" s="25">
        <v>307.59880208969099</v>
      </c>
      <c r="H206" s="128">
        <v>3.05167436599731</v>
      </c>
    </row>
    <row r="207" spans="1:8" x14ac:dyDescent="0.2">
      <c r="A207" s="35" t="s">
        <v>14</v>
      </c>
      <c r="B207" s="9">
        <f>G205+4</f>
        <v>4</v>
      </c>
      <c r="C207" s="6">
        <f>195.265128612518</f>
        <v>195.265128612518</v>
      </c>
      <c r="D207" s="8">
        <f t="shared" si="9"/>
        <v>191.265128612518</v>
      </c>
      <c r="F207" s="25">
        <v>421.14436340332003</v>
      </c>
    </row>
    <row r="208" spans="1:8" ht="17" thickBot="1" x14ac:dyDescent="0.25">
      <c r="A208" s="35" t="s">
        <v>15</v>
      </c>
      <c r="B208" s="9">
        <f>B207+20</f>
        <v>24</v>
      </c>
      <c r="C208" s="7" t="b">
        <f>FALSE</f>
        <v>0</v>
      </c>
      <c r="D208" s="8" t="b">
        <f t="shared" si="9"/>
        <v>0</v>
      </c>
      <c r="F208" s="29">
        <v>537.20729660987797</v>
      </c>
    </row>
    <row r="209" spans="1:6" x14ac:dyDescent="0.2">
      <c r="A209" s="26" t="s">
        <v>16</v>
      </c>
      <c r="B209" s="9">
        <f>B208+20</f>
        <v>44</v>
      </c>
      <c r="C209" s="5">
        <v>225.494886398315</v>
      </c>
      <c r="D209" s="8">
        <f t="shared" si="9"/>
        <v>181.494886398315</v>
      </c>
    </row>
    <row r="210" spans="1:6" x14ac:dyDescent="0.2">
      <c r="A210" s="35" t="s">
        <v>17</v>
      </c>
      <c r="B210" s="9">
        <f>G206+4</f>
        <v>4</v>
      </c>
      <c r="C210" s="7" t="b">
        <f>FALSE</f>
        <v>0</v>
      </c>
      <c r="D210" s="8" t="b">
        <f t="shared" si="9"/>
        <v>0</v>
      </c>
    </row>
    <row r="211" spans="1:6" x14ac:dyDescent="0.2">
      <c r="A211" s="35" t="s">
        <v>18</v>
      </c>
      <c r="B211" s="9">
        <f>B210+20</f>
        <v>24</v>
      </c>
      <c r="C211" s="7" t="b">
        <f>FALSE</f>
        <v>0</v>
      </c>
      <c r="D211" s="8" t="b">
        <f t="shared" si="9"/>
        <v>0</v>
      </c>
    </row>
    <row r="212" spans="1:6" x14ac:dyDescent="0.2">
      <c r="A212" s="26" t="s">
        <v>19</v>
      </c>
      <c r="B212" s="9">
        <f>B211+20</f>
        <v>44</v>
      </c>
      <c r="C212" s="5">
        <v>365.99383807182301</v>
      </c>
      <c r="D212" s="8">
        <f t="shared" si="9"/>
        <v>321.99383807182301</v>
      </c>
    </row>
    <row r="213" spans="1:6" x14ac:dyDescent="0.2">
      <c r="A213" s="35" t="s">
        <v>20</v>
      </c>
      <c r="B213" s="9">
        <f>G207+4</f>
        <v>4</v>
      </c>
      <c r="C213" s="7" t="b">
        <f>FALSE</f>
        <v>0</v>
      </c>
      <c r="D213" s="8" t="b">
        <f t="shared" si="9"/>
        <v>0</v>
      </c>
      <c r="F213" s="118" t="s">
        <v>222</v>
      </c>
    </row>
    <row r="214" spans="1:6" x14ac:dyDescent="0.2">
      <c r="A214" s="35" t="s">
        <v>21</v>
      </c>
      <c r="B214" s="9">
        <f>B213+20</f>
        <v>24</v>
      </c>
      <c r="C214" s="7" t="b">
        <f>FALSE</f>
        <v>0</v>
      </c>
      <c r="D214" s="8" t="b">
        <f t="shared" si="9"/>
        <v>0</v>
      </c>
      <c r="F214" s="118">
        <v>0.8</v>
      </c>
    </row>
    <row r="215" spans="1:6" ht="17" thickBot="1" x14ac:dyDescent="0.25">
      <c r="A215" s="26" t="s">
        <v>22</v>
      </c>
      <c r="B215" s="9">
        <f>B214+20</f>
        <v>44</v>
      </c>
      <c r="C215" s="37" t="b">
        <f>FALSE</f>
        <v>0</v>
      </c>
      <c r="D215" s="8" t="b">
        <f t="shared" si="9"/>
        <v>0</v>
      </c>
    </row>
    <row r="216" spans="1:6" x14ac:dyDescent="0.2">
      <c r="A216" s="35" t="s">
        <v>23</v>
      </c>
      <c r="B216" s="9">
        <f>G208+4</f>
        <v>4</v>
      </c>
      <c r="C216" s="7" t="b">
        <f>FALSE</f>
        <v>0</v>
      </c>
      <c r="D216" s="8" t="b">
        <f t="shared" si="9"/>
        <v>0</v>
      </c>
    </row>
    <row r="217" spans="1:6" x14ac:dyDescent="0.2">
      <c r="A217" s="35" t="s">
        <v>24</v>
      </c>
      <c r="B217" s="9">
        <f>B216+20</f>
        <v>24</v>
      </c>
      <c r="C217" s="7" t="b">
        <v>0</v>
      </c>
      <c r="D217" s="8" t="b">
        <f t="shared" si="9"/>
        <v>0</v>
      </c>
    </row>
    <row r="218" spans="1:6" ht="17" thickBot="1" x14ac:dyDescent="0.25">
      <c r="A218" s="33" t="s">
        <v>25</v>
      </c>
      <c r="B218" s="10">
        <f>B217+20</f>
        <v>44</v>
      </c>
      <c r="C218" s="11">
        <f>601.197803258895</f>
        <v>601.19780325889496</v>
      </c>
      <c r="D218" s="8">
        <f t="shared" si="9"/>
        <v>557.19780325889496</v>
      </c>
    </row>
    <row r="219" spans="1:6" x14ac:dyDescent="0.2">
      <c r="A219" s="128"/>
      <c r="B219" s="128" t="s">
        <v>53</v>
      </c>
      <c r="C219" s="128">
        <v>4</v>
      </c>
      <c r="D219" s="128"/>
    </row>
    <row r="220" spans="1:6" x14ac:dyDescent="0.2">
      <c r="A220" s="128"/>
      <c r="B220" s="128"/>
      <c r="C220" s="128"/>
      <c r="D220" s="128"/>
    </row>
    <row r="221" spans="1:6" x14ac:dyDescent="0.2">
      <c r="A221" s="128"/>
      <c r="B221" s="128"/>
      <c r="C221" s="128"/>
      <c r="D221" s="128"/>
    </row>
    <row r="222" spans="1:6" x14ac:dyDescent="0.2">
      <c r="A222" s="128"/>
      <c r="B222" s="128"/>
      <c r="C222" s="128"/>
      <c r="D222" s="128"/>
    </row>
    <row r="223" spans="1:6" x14ac:dyDescent="0.2">
      <c r="A223" s="128"/>
      <c r="B223" s="128"/>
      <c r="C223" s="128"/>
      <c r="D223" s="128"/>
    </row>
    <row r="224" spans="1:6" x14ac:dyDescent="0.2">
      <c r="A224" s="128"/>
      <c r="B224" s="128"/>
      <c r="C224" s="128"/>
      <c r="D224" s="128"/>
    </row>
    <row r="225" spans="1:8" x14ac:dyDescent="0.2">
      <c r="A225" s="128"/>
      <c r="B225" s="128"/>
      <c r="C225" s="128"/>
      <c r="D225" s="128"/>
    </row>
    <row r="226" spans="1:8" x14ac:dyDescent="0.2">
      <c r="A226" s="128"/>
      <c r="B226" s="128"/>
      <c r="C226" s="128"/>
      <c r="D226" s="128"/>
    </row>
    <row r="227" spans="1:8" x14ac:dyDescent="0.2">
      <c r="A227" s="128"/>
      <c r="B227" s="128"/>
      <c r="C227" s="128"/>
      <c r="D227" s="128"/>
    </row>
    <row r="228" spans="1:8" x14ac:dyDescent="0.2">
      <c r="A228" s="128"/>
      <c r="B228" s="128"/>
      <c r="C228" s="128"/>
      <c r="D228" s="128"/>
    </row>
    <row r="229" spans="1:8" x14ac:dyDescent="0.2">
      <c r="A229" s="128"/>
      <c r="B229" s="128"/>
      <c r="C229" s="128"/>
      <c r="D229" s="128"/>
    </row>
    <row r="230" spans="1:8" x14ac:dyDescent="0.2">
      <c r="A230" s="128"/>
      <c r="B230" s="128"/>
      <c r="C230" s="128"/>
      <c r="D230" s="128"/>
    </row>
    <row r="231" spans="1:8" ht="17" thickBot="1" x14ac:dyDescent="0.25">
      <c r="A231" s="128" t="s">
        <v>228</v>
      </c>
      <c r="B231" s="128"/>
      <c r="C231" s="128"/>
      <c r="D231" s="128"/>
    </row>
    <row r="232" spans="1:8" ht="17" thickBot="1" x14ac:dyDescent="0.25">
      <c r="A232" s="128">
        <v>11</v>
      </c>
      <c r="B232" s="20" t="s">
        <v>45</v>
      </c>
      <c r="C232" s="21" t="s">
        <v>46</v>
      </c>
      <c r="D232" s="22" t="s">
        <v>47</v>
      </c>
      <c r="F232" s="23" t="s">
        <v>0</v>
      </c>
    </row>
    <row r="233" spans="1:8" x14ac:dyDescent="0.2">
      <c r="A233" s="24" t="s">
        <v>26</v>
      </c>
      <c r="B233" s="30">
        <f>G233+4-I233</f>
        <v>4</v>
      </c>
      <c r="C233" s="36">
        <v>34.474709272384601</v>
      </c>
      <c r="D233" s="8">
        <f>IF(C233,C233-B233,FALSE)</f>
        <v>30.474709272384601</v>
      </c>
      <c r="F233" s="25">
        <v>31.4196841716766</v>
      </c>
    </row>
    <row r="234" spans="1:8" x14ac:dyDescent="0.2">
      <c r="A234" s="26" t="s">
        <v>27</v>
      </c>
      <c r="B234" s="13">
        <f>B233+20</f>
        <v>24</v>
      </c>
      <c r="C234" s="128">
        <v>56.1934168338775</v>
      </c>
      <c r="D234" s="8">
        <f t="shared" ref="D234:D247" si="10">IF(C234,C234-B234,FALSE)</f>
        <v>32.1934168338775</v>
      </c>
      <c r="F234" s="25">
        <v>164.38954043388301</v>
      </c>
      <c r="H234" s="128" t="s">
        <v>5</v>
      </c>
    </row>
    <row r="235" spans="1:8" x14ac:dyDescent="0.2">
      <c r="A235" s="26" t="s">
        <v>13</v>
      </c>
      <c r="B235" s="13">
        <f>B234+20</f>
        <v>44</v>
      </c>
      <c r="C235" s="4">
        <v>77.053966760635305</v>
      </c>
      <c r="D235" s="8">
        <f t="shared" si="10"/>
        <v>33.053966760635305</v>
      </c>
      <c r="F235" s="25">
        <v>310.453330993652</v>
      </c>
      <c r="H235" s="128">
        <v>3.0147912502288801</v>
      </c>
    </row>
    <row r="236" spans="1:8" x14ac:dyDescent="0.2">
      <c r="A236" s="26" t="s">
        <v>28</v>
      </c>
      <c r="B236" s="13">
        <f>G234+4</f>
        <v>4</v>
      </c>
      <c r="C236" s="7">
        <v>178.00830483436499</v>
      </c>
      <c r="D236" s="8">
        <f t="shared" si="10"/>
        <v>174.00830483436499</v>
      </c>
      <c r="F236" s="25">
        <v>434.27031064033503</v>
      </c>
    </row>
    <row r="237" spans="1:8" ht="17" thickBot="1" x14ac:dyDescent="0.25">
      <c r="A237" s="26" t="s">
        <v>29</v>
      </c>
      <c r="B237" s="13">
        <f>B236+20</f>
        <v>24</v>
      </c>
      <c r="C237" s="7">
        <v>196.05921530723501</v>
      </c>
      <c r="D237" s="8">
        <f t="shared" si="10"/>
        <v>172.05921530723501</v>
      </c>
      <c r="F237" s="29">
        <v>559.13585686683598</v>
      </c>
    </row>
    <row r="238" spans="1:8" x14ac:dyDescent="0.2">
      <c r="A238" s="26" t="s">
        <v>16</v>
      </c>
      <c r="B238" s="13">
        <f>B237+20</f>
        <v>44</v>
      </c>
      <c r="C238" s="4">
        <v>213.17800283432001</v>
      </c>
      <c r="D238" s="8">
        <f t="shared" si="10"/>
        <v>169.17800283432001</v>
      </c>
    </row>
    <row r="239" spans="1:8" x14ac:dyDescent="0.2">
      <c r="A239" s="26" t="s">
        <v>30</v>
      </c>
      <c r="B239" s="13">
        <f>G235+4</f>
        <v>4</v>
      </c>
      <c r="C239" s="128">
        <v>334.24830389022799</v>
      </c>
      <c r="D239" s="8">
        <f t="shared" si="10"/>
        <v>330.24830389022799</v>
      </c>
    </row>
    <row r="240" spans="1:8" x14ac:dyDescent="0.2">
      <c r="A240" s="26" t="s">
        <v>31</v>
      </c>
      <c r="B240" s="13">
        <f>B239+20</f>
        <v>24</v>
      </c>
      <c r="C240" s="128">
        <v>338.344648361206</v>
      </c>
      <c r="D240" s="8">
        <f t="shared" si="10"/>
        <v>314.344648361206</v>
      </c>
    </row>
    <row r="241" spans="1:6" x14ac:dyDescent="0.2">
      <c r="A241" s="26" t="s">
        <v>19</v>
      </c>
      <c r="B241" s="13">
        <f>B240+20</f>
        <v>44</v>
      </c>
      <c r="C241" s="4">
        <v>357.95711851119898</v>
      </c>
      <c r="D241" s="8">
        <f t="shared" si="10"/>
        <v>313.95711851119898</v>
      </c>
      <c r="F241" s="118" t="s">
        <v>222</v>
      </c>
    </row>
    <row r="242" spans="1:6" x14ac:dyDescent="0.2">
      <c r="A242" s="26" t="s">
        <v>32</v>
      </c>
      <c r="B242" s="13">
        <f>G236+4</f>
        <v>4</v>
      </c>
      <c r="C242" s="128">
        <v>445.40520477294899</v>
      </c>
      <c r="D242" s="8">
        <f t="shared" si="10"/>
        <v>441.40520477294899</v>
      </c>
      <c r="F242" s="118">
        <v>0.8</v>
      </c>
    </row>
    <row r="243" spans="1:6" x14ac:dyDescent="0.2">
      <c r="A243" s="26" t="s">
        <v>22</v>
      </c>
      <c r="B243" s="13">
        <f>B242+20</f>
        <v>24</v>
      </c>
      <c r="C243" s="17" t="b">
        <f>FALSE</f>
        <v>0</v>
      </c>
      <c r="D243" s="8" t="b">
        <f t="shared" si="10"/>
        <v>0</v>
      </c>
    </row>
    <row r="244" spans="1:6" x14ac:dyDescent="0.2">
      <c r="A244" s="26" t="s">
        <v>33</v>
      </c>
      <c r="B244" s="13">
        <f>B243+20</f>
        <v>44</v>
      </c>
      <c r="C244" s="128">
        <v>492.11690926551802</v>
      </c>
      <c r="D244" s="8">
        <f t="shared" si="10"/>
        <v>448.11690926551802</v>
      </c>
    </row>
    <row r="245" spans="1:6" x14ac:dyDescent="0.2">
      <c r="A245" s="26" t="s">
        <v>34</v>
      </c>
      <c r="B245" s="13">
        <f>G237+4</f>
        <v>4</v>
      </c>
      <c r="C245" s="128">
        <v>567.18008732795704</v>
      </c>
      <c r="D245" s="8">
        <f t="shared" si="10"/>
        <v>563.18008732795704</v>
      </c>
    </row>
    <row r="246" spans="1:6" x14ac:dyDescent="0.2">
      <c r="A246" s="26" t="s">
        <v>35</v>
      </c>
      <c r="B246" s="13">
        <f>B245+20</f>
        <v>24</v>
      </c>
      <c r="C246" s="128">
        <v>595.74078845977704</v>
      </c>
      <c r="D246" s="8">
        <f t="shared" si="10"/>
        <v>571.74078845977704</v>
      </c>
    </row>
    <row r="247" spans="1:6" ht="17" thickBot="1" x14ac:dyDescent="0.25">
      <c r="A247" s="33" t="s">
        <v>36</v>
      </c>
      <c r="B247" s="14">
        <f>B246+20</f>
        <v>44</v>
      </c>
      <c r="C247" s="19">
        <v>619.81961226463295</v>
      </c>
      <c r="D247" s="8">
        <f t="shared" si="10"/>
        <v>575.81961226463295</v>
      </c>
    </row>
    <row r="248" spans="1:6" x14ac:dyDescent="0.2">
      <c r="A248" s="128"/>
      <c r="B248" s="128" t="s">
        <v>53</v>
      </c>
      <c r="C248" s="128">
        <v>4</v>
      </c>
      <c r="D248" s="128"/>
    </row>
    <row r="249" spans="1:6" x14ac:dyDescent="0.2">
      <c r="A249" s="128"/>
      <c r="B249" s="128"/>
      <c r="C249" s="128"/>
      <c r="D249" s="128"/>
    </row>
    <row r="250" spans="1:6" x14ac:dyDescent="0.2">
      <c r="A250" s="128"/>
      <c r="B250" s="128"/>
      <c r="C250" s="128"/>
      <c r="D250" s="128"/>
    </row>
    <row r="251" spans="1:6" x14ac:dyDescent="0.2">
      <c r="A251" s="128"/>
      <c r="B251" s="128"/>
      <c r="C251" s="128"/>
      <c r="D251" s="128"/>
    </row>
    <row r="252" spans="1:6" x14ac:dyDescent="0.2">
      <c r="A252" s="128"/>
      <c r="B252" s="128"/>
      <c r="C252" s="128"/>
      <c r="D252" s="128"/>
    </row>
    <row r="253" spans="1:6" x14ac:dyDescent="0.2">
      <c r="A253" s="128"/>
      <c r="B253" s="128"/>
      <c r="C253" s="128"/>
      <c r="D253" s="128"/>
    </row>
    <row r="254" spans="1:6" x14ac:dyDescent="0.2">
      <c r="A254" s="128"/>
      <c r="B254" s="128"/>
      <c r="C254" s="128"/>
      <c r="D254" s="128"/>
    </row>
    <row r="255" spans="1:6" x14ac:dyDescent="0.2">
      <c r="A255" s="128"/>
      <c r="B255" s="128"/>
      <c r="C255" s="128"/>
      <c r="D255" s="128"/>
    </row>
    <row r="256" spans="1:6" x14ac:dyDescent="0.2">
      <c r="A256" s="128"/>
      <c r="B256" s="128"/>
      <c r="C256" s="128"/>
      <c r="D256" s="128"/>
    </row>
    <row r="257" spans="1:8" x14ac:dyDescent="0.2">
      <c r="A257" s="128"/>
      <c r="B257" s="128"/>
      <c r="C257" s="128"/>
      <c r="D257" s="128"/>
    </row>
    <row r="258" spans="1:8" ht="17" thickBot="1" x14ac:dyDescent="0.25">
      <c r="A258" s="128"/>
      <c r="B258" s="128"/>
      <c r="C258" s="128"/>
      <c r="D258" s="128"/>
    </row>
    <row r="259" spans="1:8" ht="17" thickBot="1" x14ac:dyDescent="0.25">
      <c r="A259" s="128">
        <v>12</v>
      </c>
      <c r="B259" s="20" t="s">
        <v>45</v>
      </c>
      <c r="C259" s="21" t="s">
        <v>46</v>
      </c>
      <c r="D259" s="22" t="s">
        <v>47</v>
      </c>
      <c r="F259" s="23" t="s">
        <v>0</v>
      </c>
    </row>
    <row r="260" spans="1:8" x14ac:dyDescent="0.2">
      <c r="A260" s="24" t="s">
        <v>26</v>
      </c>
      <c r="B260" s="30">
        <f>G260+4-I260</f>
        <v>4</v>
      </c>
      <c r="C260" s="36">
        <v>31.739867210388098</v>
      </c>
      <c r="D260" s="8">
        <f>IF(C260,C260-B260,FALSE)</f>
        <v>27.739867210388098</v>
      </c>
      <c r="F260" s="25">
        <v>29.134259223937899</v>
      </c>
    </row>
    <row r="261" spans="1:8" x14ac:dyDescent="0.2">
      <c r="A261" s="26" t="s">
        <v>27</v>
      </c>
      <c r="B261" s="13">
        <f>B260+20</f>
        <v>24</v>
      </c>
      <c r="C261" s="128">
        <v>51.478246688842702</v>
      </c>
      <c r="D261" s="8">
        <f t="shared" ref="D261:D274" si="11">IF(C261,C261-B261,FALSE)</f>
        <v>27.478246688842702</v>
      </c>
      <c r="F261" s="25">
        <v>185.13568949699399</v>
      </c>
      <c r="H261" s="128" t="s">
        <v>5</v>
      </c>
    </row>
    <row r="262" spans="1:8" x14ac:dyDescent="0.2">
      <c r="A262" s="26" t="s">
        <v>13</v>
      </c>
      <c r="B262" s="13">
        <f>B261+20</f>
        <v>44</v>
      </c>
      <c r="C262" s="4">
        <v>71.932688951492295</v>
      </c>
      <c r="D262" s="8">
        <f t="shared" si="11"/>
        <v>27.932688951492295</v>
      </c>
      <c r="F262" s="25">
        <v>297.734725475311</v>
      </c>
      <c r="H262" s="128">
        <v>3.0140001773834202</v>
      </c>
    </row>
    <row r="263" spans="1:8" x14ac:dyDescent="0.2">
      <c r="A263" s="26" t="s">
        <v>28</v>
      </c>
      <c r="B263" s="13">
        <f>G261+4</f>
        <v>4</v>
      </c>
      <c r="C263" s="7">
        <v>195.31851196289</v>
      </c>
      <c r="D263" s="8">
        <f t="shared" si="11"/>
        <v>191.31851196289</v>
      </c>
      <c r="F263" s="25">
        <v>410.29212570190401</v>
      </c>
    </row>
    <row r="264" spans="1:8" ht="17" thickBot="1" x14ac:dyDescent="0.25">
      <c r="A264" s="26" t="s">
        <v>29</v>
      </c>
      <c r="B264" s="13">
        <f>B263+20</f>
        <v>24</v>
      </c>
      <c r="C264" s="7">
        <v>212.21417927741999</v>
      </c>
      <c r="D264" s="8">
        <f t="shared" si="11"/>
        <v>188.21417927741999</v>
      </c>
      <c r="F264" s="29">
        <v>533.30037140846196</v>
      </c>
    </row>
    <row r="265" spans="1:8" x14ac:dyDescent="0.2">
      <c r="A265" s="26" t="s">
        <v>16</v>
      </c>
      <c r="B265" s="13">
        <f>B264+20</f>
        <v>44</v>
      </c>
      <c r="C265" s="4">
        <v>231.16128563880901</v>
      </c>
      <c r="D265" s="8">
        <f t="shared" si="11"/>
        <v>187.16128563880901</v>
      </c>
    </row>
    <row r="266" spans="1:8" x14ac:dyDescent="0.2">
      <c r="A266" s="26" t="s">
        <v>30</v>
      </c>
      <c r="B266" s="13">
        <f>G262+4</f>
        <v>4</v>
      </c>
      <c r="C266" s="128">
        <v>307.30777001380898</v>
      </c>
      <c r="D266" s="8">
        <f t="shared" si="11"/>
        <v>303.30777001380898</v>
      </c>
    </row>
    <row r="267" spans="1:8" x14ac:dyDescent="0.2">
      <c r="A267" s="26" t="s">
        <v>31</v>
      </c>
      <c r="B267" s="13">
        <f>B266+20</f>
        <v>24</v>
      </c>
      <c r="C267" s="128">
        <v>326.63719034194901</v>
      </c>
      <c r="D267" s="8">
        <f t="shared" si="11"/>
        <v>302.63719034194901</v>
      </c>
    </row>
    <row r="268" spans="1:8" x14ac:dyDescent="0.2">
      <c r="A268" s="26" t="s">
        <v>19</v>
      </c>
      <c r="B268" s="13">
        <f>B267+20</f>
        <v>44</v>
      </c>
      <c r="C268" s="4">
        <v>343.51863741874598</v>
      </c>
      <c r="D268" s="8">
        <f t="shared" si="11"/>
        <v>299.51863741874598</v>
      </c>
      <c r="F268" s="118" t="s">
        <v>222</v>
      </c>
    </row>
    <row r="269" spans="1:8" x14ac:dyDescent="0.2">
      <c r="A269" s="26" t="s">
        <v>32</v>
      </c>
      <c r="B269" s="13">
        <f>G263+4</f>
        <v>4</v>
      </c>
      <c r="C269" s="128">
        <v>421.65384769439697</v>
      </c>
      <c r="D269" s="8">
        <f t="shared" si="11"/>
        <v>417.65384769439697</v>
      </c>
      <c r="F269" s="118">
        <v>0.8</v>
      </c>
    </row>
    <row r="270" spans="1:8" x14ac:dyDescent="0.2">
      <c r="A270" s="26" t="s">
        <v>22</v>
      </c>
      <c r="B270" s="13">
        <f>B269+20</f>
        <v>24</v>
      </c>
      <c r="C270" s="17" t="b">
        <f>FALSE</f>
        <v>0</v>
      </c>
      <c r="D270" s="8" t="b">
        <f t="shared" si="11"/>
        <v>0</v>
      </c>
    </row>
    <row r="271" spans="1:8" x14ac:dyDescent="0.2">
      <c r="A271" s="26" t="s">
        <v>33</v>
      </c>
      <c r="B271" s="13">
        <f>B270+20</f>
        <v>44</v>
      </c>
      <c r="C271" s="128">
        <v>459.419289588928</v>
      </c>
      <c r="D271" s="8">
        <f t="shared" si="11"/>
        <v>415.419289588928</v>
      </c>
    </row>
    <row r="272" spans="1:8" x14ac:dyDescent="0.2">
      <c r="A272" s="26" t="s">
        <v>34</v>
      </c>
      <c r="B272" s="13">
        <f>G264+4</f>
        <v>4</v>
      </c>
      <c r="C272" s="128">
        <v>539.33937215804997</v>
      </c>
      <c r="D272" s="8">
        <f t="shared" si="11"/>
        <v>535.33937215804997</v>
      </c>
    </row>
    <row r="273" spans="1:8" x14ac:dyDescent="0.2">
      <c r="A273" s="26" t="s">
        <v>35</v>
      </c>
      <c r="B273" s="13">
        <f>B272+20</f>
        <v>24</v>
      </c>
      <c r="C273" s="128">
        <v>568.34497094154301</v>
      </c>
      <c r="D273" s="8">
        <f t="shared" si="11"/>
        <v>544.34497094154301</v>
      </c>
    </row>
    <row r="274" spans="1:8" ht="17" thickBot="1" x14ac:dyDescent="0.25">
      <c r="A274" s="33" t="s">
        <v>36</v>
      </c>
      <c r="B274" s="14">
        <f>B273+20</f>
        <v>44</v>
      </c>
      <c r="C274" s="7" t="b">
        <f>FALSE</f>
        <v>0</v>
      </c>
      <c r="D274" s="8" t="b">
        <f t="shared" si="11"/>
        <v>0</v>
      </c>
    </row>
    <row r="275" spans="1:8" x14ac:dyDescent="0.2">
      <c r="A275" s="128"/>
      <c r="B275" s="128" t="s">
        <v>53</v>
      </c>
      <c r="C275" s="128">
        <v>4</v>
      </c>
      <c r="D275" s="128"/>
    </row>
    <row r="276" spans="1:8" x14ac:dyDescent="0.2">
      <c r="A276" s="128"/>
      <c r="B276" s="128"/>
      <c r="C276" s="128"/>
      <c r="D276" s="128"/>
    </row>
    <row r="277" spans="1:8" x14ac:dyDescent="0.2">
      <c r="A277" s="128"/>
      <c r="B277" s="128"/>
      <c r="C277" s="128"/>
      <c r="D277" s="128"/>
    </row>
    <row r="278" spans="1:8" x14ac:dyDescent="0.2">
      <c r="A278" s="128"/>
      <c r="B278" s="128"/>
      <c r="C278" s="128"/>
      <c r="D278" s="128"/>
    </row>
    <row r="279" spans="1:8" x14ac:dyDescent="0.2">
      <c r="A279" s="128"/>
      <c r="B279" s="128"/>
      <c r="C279" s="128"/>
      <c r="D279" s="128"/>
    </row>
    <row r="280" spans="1:8" x14ac:dyDescent="0.2">
      <c r="A280" s="128"/>
      <c r="B280" s="128"/>
      <c r="C280" s="128"/>
      <c r="D280" s="128"/>
    </row>
    <row r="281" spans="1:8" x14ac:dyDescent="0.2">
      <c r="A281" s="128"/>
      <c r="B281" s="128"/>
      <c r="C281" s="128"/>
      <c r="D281" s="128"/>
    </row>
    <row r="282" spans="1:8" x14ac:dyDescent="0.2">
      <c r="A282" s="128"/>
      <c r="B282" s="128"/>
      <c r="C282" s="128"/>
      <c r="D282" s="128"/>
    </row>
    <row r="283" spans="1:8" x14ac:dyDescent="0.2">
      <c r="A283" s="128"/>
      <c r="B283" s="128"/>
      <c r="C283" s="128"/>
      <c r="D283" s="128"/>
    </row>
    <row r="284" spans="1:8" x14ac:dyDescent="0.2">
      <c r="A284" s="128"/>
      <c r="B284" s="128"/>
      <c r="C284" s="128"/>
      <c r="D284" s="128"/>
    </row>
    <row r="285" spans="1:8" ht="17" thickBot="1" x14ac:dyDescent="0.25">
      <c r="A285" s="128"/>
      <c r="B285" s="128"/>
      <c r="C285" s="128"/>
      <c r="D285" s="128"/>
    </row>
    <row r="286" spans="1:8" ht="17" thickBot="1" x14ac:dyDescent="0.25">
      <c r="A286" s="128">
        <v>13</v>
      </c>
      <c r="B286" s="20" t="s">
        <v>45</v>
      </c>
      <c r="C286" s="21" t="s">
        <v>46</v>
      </c>
      <c r="D286" s="22" t="s">
        <v>47</v>
      </c>
      <c r="F286" s="23" t="s">
        <v>0</v>
      </c>
    </row>
    <row r="287" spans="1:8" x14ac:dyDescent="0.2">
      <c r="A287" s="24" t="s">
        <v>26</v>
      </c>
      <c r="B287" s="30">
        <f>G287+4-I287</f>
        <v>4</v>
      </c>
      <c r="C287" s="36">
        <v>17.2989370822906</v>
      </c>
      <c r="D287" s="8">
        <f>IF(C287,C287-B287,FALSE)</f>
        <v>13.2989370822906</v>
      </c>
      <c r="F287" s="25">
        <v>14.002699136734</v>
      </c>
    </row>
    <row r="288" spans="1:8" x14ac:dyDescent="0.2">
      <c r="A288" s="26" t="s">
        <v>27</v>
      </c>
      <c r="B288" s="13">
        <f>B287+20</f>
        <v>24</v>
      </c>
      <c r="C288" s="128">
        <v>39.153902769088702</v>
      </c>
      <c r="D288" s="8">
        <f t="shared" ref="D288:D301" si="12">IF(C288,C288-B288,FALSE)</f>
        <v>15.153902769088702</v>
      </c>
      <c r="F288" s="25">
        <v>158.946162939071</v>
      </c>
      <c r="H288" s="128" t="s">
        <v>5</v>
      </c>
    </row>
    <row r="289" spans="1:8" x14ac:dyDescent="0.2">
      <c r="A289" s="26" t="s">
        <v>13</v>
      </c>
      <c r="B289" s="13">
        <f>B288+20</f>
        <v>44</v>
      </c>
      <c r="C289" s="4">
        <v>61.714336872100802</v>
      </c>
      <c r="D289" s="8">
        <f t="shared" si="12"/>
        <v>17.714336872100802</v>
      </c>
      <c r="F289" s="25">
        <v>279.19144201278601</v>
      </c>
      <c r="H289" s="128">
        <v>3.0112268924713099</v>
      </c>
    </row>
    <row r="290" spans="1:8" x14ac:dyDescent="0.2">
      <c r="A290" s="26" t="s">
        <v>28</v>
      </c>
      <c r="B290" s="13">
        <f>G288+4</f>
        <v>4</v>
      </c>
      <c r="C290" s="7">
        <v>174.48357439041101</v>
      </c>
      <c r="D290" s="8">
        <f t="shared" si="12"/>
        <v>170.48357439041101</v>
      </c>
      <c r="F290" s="25">
        <v>401.94248986244202</v>
      </c>
    </row>
    <row r="291" spans="1:8" ht="17" thickBot="1" x14ac:dyDescent="0.25">
      <c r="A291" s="26" t="s">
        <v>29</v>
      </c>
      <c r="B291" s="13">
        <f>B290+20</f>
        <v>24</v>
      </c>
      <c r="C291" s="8" t="b">
        <v>0</v>
      </c>
      <c r="D291" s="8" t="b">
        <f t="shared" si="12"/>
        <v>0</v>
      </c>
      <c r="F291" s="29">
        <v>533.30037140846196</v>
      </c>
    </row>
    <row r="292" spans="1:8" x14ac:dyDescent="0.2">
      <c r="A292" s="26" t="s">
        <v>16</v>
      </c>
      <c r="B292" s="13">
        <f>B291+20</f>
        <v>44</v>
      </c>
      <c r="C292" s="17" t="b">
        <f>FALSE</f>
        <v>0</v>
      </c>
      <c r="D292" s="8" t="b">
        <f t="shared" si="12"/>
        <v>0</v>
      </c>
    </row>
    <row r="293" spans="1:8" x14ac:dyDescent="0.2">
      <c r="A293" s="26" t="s">
        <v>30</v>
      </c>
      <c r="B293" s="13">
        <f>G289+4</f>
        <v>4</v>
      </c>
      <c r="C293" s="8" t="b">
        <v>0</v>
      </c>
      <c r="D293" s="8" t="b">
        <f t="shared" si="12"/>
        <v>0</v>
      </c>
    </row>
    <row r="294" spans="1:8" x14ac:dyDescent="0.2">
      <c r="A294" s="26" t="s">
        <v>31</v>
      </c>
      <c r="B294" s="13">
        <f>B293+20</f>
        <v>24</v>
      </c>
      <c r="C294" s="128">
        <v>312.019419431686</v>
      </c>
      <c r="D294" s="8">
        <f t="shared" si="12"/>
        <v>288.019419431686</v>
      </c>
    </row>
    <row r="295" spans="1:8" x14ac:dyDescent="0.2">
      <c r="A295" s="26" t="s">
        <v>19</v>
      </c>
      <c r="B295" s="13">
        <f>B294+20</f>
        <v>44</v>
      </c>
      <c r="C295" s="4">
        <v>325.62417006492598</v>
      </c>
      <c r="D295" s="8">
        <f t="shared" si="12"/>
        <v>281.62417006492598</v>
      </c>
      <c r="F295" s="118" t="s">
        <v>222</v>
      </c>
    </row>
    <row r="296" spans="1:8" x14ac:dyDescent="0.2">
      <c r="A296" s="26" t="s">
        <v>32</v>
      </c>
      <c r="B296" s="13">
        <f>G290+4</f>
        <v>4</v>
      </c>
      <c r="C296" s="128">
        <v>417.512158155441</v>
      </c>
      <c r="D296" s="8">
        <f t="shared" si="12"/>
        <v>413.512158155441</v>
      </c>
      <c r="F296" s="118">
        <v>0.6</v>
      </c>
    </row>
    <row r="297" spans="1:8" x14ac:dyDescent="0.2">
      <c r="A297" s="26" t="s">
        <v>22</v>
      </c>
      <c r="B297" s="13">
        <f>B296+20</f>
        <v>24</v>
      </c>
      <c r="C297" s="17" t="b">
        <f>FALSE</f>
        <v>0</v>
      </c>
      <c r="D297" s="8" t="b">
        <f t="shared" si="12"/>
        <v>0</v>
      </c>
    </row>
    <row r="298" spans="1:8" x14ac:dyDescent="0.2">
      <c r="A298" s="26" t="s">
        <v>33</v>
      </c>
      <c r="B298" s="13">
        <f>B297+20</f>
        <v>44</v>
      </c>
      <c r="C298" s="8" t="b">
        <v>0</v>
      </c>
      <c r="D298" s="8" t="b">
        <f t="shared" si="12"/>
        <v>0</v>
      </c>
    </row>
    <row r="299" spans="1:8" x14ac:dyDescent="0.2">
      <c r="A299" s="26" t="s">
        <v>34</v>
      </c>
      <c r="B299" s="13">
        <f>G291+4</f>
        <v>4</v>
      </c>
      <c r="C299" s="128" t="s">
        <v>219</v>
      </c>
      <c r="D299" s="8"/>
    </row>
    <row r="300" spans="1:8" x14ac:dyDescent="0.2">
      <c r="A300" s="26" t="s">
        <v>35</v>
      </c>
      <c r="B300" s="13">
        <f>B299+20</f>
        <v>24</v>
      </c>
      <c r="C300" s="8" t="b">
        <v>0</v>
      </c>
      <c r="D300" s="8" t="b">
        <f t="shared" si="12"/>
        <v>0</v>
      </c>
    </row>
    <row r="301" spans="1:8" ht="17" thickBot="1" x14ac:dyDescent="0.25">
      <c r="A301" s="33" t="s">
        <v>36</v>
      </c>
      <c r="B301" s="14">
        <f>B300+20</f>
        <v>44</v>
      </c>
      <c r="C301" s="63">
        <v>594.15489673614502</v>
      </c>
      <c r="D301" s="8">
        <f t="shared" si="12"/>
        <v>550.15489673614502</v>
      </c>
    </row>
    <row r="302" spans="1:8" x14ac:dyDescent="0.2">
      <c r="A302" s="128"/>
      <c r="B302" s="128" t="s">
        <v>53</v>
      </c>
      <c r="C302" s="128">
        <v>3</v>
      </c>
      <c r="D302" s="128"/>
    </row>
    <row r="303" spans="1:8" x14ac:dyDescent="0.2">
      <c r="A303" s="128"/>
      <c r="B303" s="128"/>
      <c r="C303" s="128"/>
      <c r="D303" s="128"/>
    </row>
    <row r="304" spans="1:8" x14ac:dyDescent="0.2">
      <c r="A304" s="128"/>
      <c r="B304" s="128"/>
      <c r="C304" s="128"/>
      <c r="D304" s="128"/>
    </row>
    <row r="305" spans="1:8" x14ac:dyDescent="0.2">
      <c r="A305" s="128"/>
      <c r="B305" s="128"/>
      <c r="C305" s="128"/>
      <c r="D305" s="128"/>
    </row>
    <row r="306" spans="1:8" x14ac:dyDescent="0.2">
      <c r="A306" s="128"/>
      <c r="B306" s="128"/>
      <c r="C306" s="128"/>
      <c r="D306" s="128"/>
    </row>
    <row r="307" spans="1:8" x14ac:dyDescent="0.2">
      <c r="A307" s="128"/>
      <c r="B307" s="128"/>
      <c r="C307" s="128"/>
      <c r="D307" s="128"/>
    </row>
    <row r="308" spans="1:8" x14ac:dyDescent="0.2">
      <c r="A308" s="128"/>
      <c r="B308" s="128"/>
      <c r="C308" s="128"/>
      <c r="D308" s="128"/>
    </row>
    <row r="309" spans="1:8" x14ac:dyDescent="0.2">
      <c r="A309" s="128"/>
      <c r="B309" s="128"/>
      <c r="C309" s="128"/>
      <c r="D309" s="128"/>
    </row>
    <row r="310" spans="1:8" x14ac:dyDescent="0.2">
      <c r="A310" s="128"/>
      <c r="B310" s="128"/>
      <c r="C310" s="128"/>
      <c r="D310" s="128"/>
    </row>
    <row r="311" spans="1:8" x14ac:dyDescent="0.2">
      <c r="A311" s="128"/>
      <c r="B311" s="128"/>
      <c r="C311" s="128"/>
      <c r="D311" s="128"/>
    </row>
    <row r="312" spans="1:8" x14ac:dyDescent="0.2">
      <c r="A312" s="128"/>
      <c r="B312" s="128"/>
      <c r="C312" s="128"/>
      <c r="D312" s="128"/>
    </row>
    <row r="313" spans="1:8" ht="17" thickBot="1" x14ac:dyDescent="0.25">
      <c r="A313" s="128"/>
      <c r="B313" s="128"/>
      <c r="C313" s="128"/>
      <c r="D313" s="128"/>
    </row>
    <row r="314" spans="1:8" ht="17" thickBot="1" x14ac:dyDescent="0.25">
      <c r="A314" s="128">
        <v>14</v>
      </c>
      <c r="B314" s="20" t="s">
        <v>45</v>
      </c>
      <c r="C314" s="21" t="s">
        <v>46</v>
      </c>
      <c r="D314" s="22" t="s">
        <v>47</v>
      </c>
      <c r="F314" s="23" t="s">
        <v>0</v>
      </c>
    </row>
    <row r="315" spans="1:8" x14ac:dyDescent="0.2">
      <c r="A315" s="34" t="s">
        <v>11</v>
      </c>
      <c r="B315" s="38">
        <f>G315+4-I315</f>
        <v>4</v>
      </c>
      <c r="C315" s="7" t="b">
        <f>FALSE</f>
        <v>0</v>
      </c>
      <c r="D315" s="8" t="b">
        <f>IF(C315,C315-B315,FALSE)</f>
        <v>0</v>
      </c>
      <c r="F315" s="25">
        <v>17.209656000137301</v>
      </c>
    </row>
    <row r="316" spans="1:8" x14ac:dyDescent="0.2">
      <c r="A316" s="35" t="s">
        <v>12</v>
      </c>
      <c r="B316" s="9">
        <f>B315+20</f>
        <v>24</v>
      </c>
      <c r="C316" s="7" t="b">
        <f>FALSE</f>
        <v>0</v>
      </c>
      <c r="D316" s="8" t="b">
        <f t="shared" ref="D316:D329" si="13">IF(C316,C316-B316,FALSE)</f>
        <v>0</v>
      </c>
      <c r="F316" s="25">
        <v>135.00956916809</v>
      </c>
      <c r="H316" s="128" t="s">
        <v>5</v>
      </c>
    </row>
    <row r="317" spans="1:8" x14ac:dyDescent="0.2">
      <c r="A317" s="26" t="s">
        <v>13</v>
      </c>
      <c r="B317" s="9">
        <f>B316+20</f>
        <v>44</v>
      </c>
      <c r="C317" s="5">
        <v>66.329498052597003</v>
      </c>
      <c r="D317" s="8">
        <f>IF(C317,C317-B317,FALSE)</f>
        <v>22.329498052597003</v>
      </c>
      <c r="F317" s="25">
        <v>266.80337738990698</v>
      </c>
      <c r="H317" s="128">
        <v>3.0204017162322998</v>
      </c>
    </row>
    <row r="318" spans="1:8" x14ac:dyDescent="0.2">
      <c r="A318" s="35" t="s">
        <v>14</v>
      </c>
      <c r="B318" s="9">
        <f>G316+4</f>
        <v>4</v>
      </c>
      <c r="C318" s="7" t="b">
        <f>FALSE</f>
        <v>0</v>
      </c>
      <c r="D318" s="8" t="b">
        <f t="shared" si="13"/>
        <v>0</v>
      </c>
      <c r="F318" s="25">
        <v>378.791607618331</v>
      </c>
    </row>
    <row r="319" spans="1:8" x14ac:dyDescent="0.2">
      <c r="A319" s="35" t="s">
        <v>15</v>
      </c>
      <c r="B319" s="9">
        <f>B318+20</f>
        <v>24</v>
      </c>
      <c r="C319" s="6">
        <v>159.287230014801</v>
      </c>
      <c r="D319" s="8">
        <f t="shared" si="13"/>
        <v>135.287230014801</v>
      </c>
      <c r="F319" s="65">
        <v>495.27546310424799</v>
      </c>
    </row>
    <row r="320" spans="1:8" x14ac:dyDescent="0.2">
      <c r="A320" s="26" t="s">
        <v>16</v>
      </c>
      <c r="B320" s="9">
        <f>B319+20</f>
        <v>44</v>
      </c>
      <c r="C320" s="5">
        <v>195.16780495643599</v>
      </c>
      <c r="D320" s="8">
        <f t="shared" si="13"/>
        <v>151.16780495643599</v>
      </c>
    </row>
    <row r="321" spans="1:6" x14ac:dyDescent="0.2">
      <c r="A321" s="35" t="s">
        <v>17</v>
      </c>
      <c r="B321" s="9">
        <f>G317+4</f>
        <v>4</v>
      </c>
      <c r="C321" s="7" t="b">
        <f>FALSE</f>
        <v>0</v>
      </c>
      <c r="D321" s="8" t="b">
        <f t="shared" si="13"/>
        <v>0</v>
      </c>
    </row>
    <row r="322" spans="1:6" x14ac:dyDescent="0.2">
      <c r="A322" s="35" t="s">
        <v>18</v>
      </c>
      <c r="B322" s="9">
        <f>B321+20</f>
        <v>24</v>
      </c>
      <c r="C322" s="7" t="b">
        <f>FALSE</f>
        <v>0</v>
      </c>
      <c r="D322" s="8" t="b">
        <f t="shared" si="13"/>
        <v>0</v>
      </c>
    </row>
    <row r="323" spans="1:6" ht="17" thickBot="1" x14ac:dyDescent="0.25">
      <c r="A323" s="26" t="s">
        <v>19</v>
      </c>
      <c r="B323" s="9">
        <f>B322+20</f>
        <v>44</v>
      </c>
      <c r="C323" s="37" t="b">
        <f>FALSE</f>
        <v>0</v>
      </c>
      <c r="D323" s="8" t="b">
        <f t="shared" si="13"/>
        <v>0</v>
      </c>
      <c r="F323" s="118" t="s">
        <v>222</v>
      </c>
    </row>
    <row r="324" spans="1:6" x14ac:dyDescent="0.2">
      <c r="A324" s="35" t="s">
        <v>20</v>
      </c>
      <c r="B324" s="9">
        <f>G318+4</f>
        <v>4</v>
      </c>
      <c r="C324" s="7" t="b">
        <f>FALSE</f>
        <v>0</v>
      </c>
      <c r="D324" s="8" t="b">
        <f t="shared" si="13"/>
        <v>0</v>
      </c>
      <c r="F324" s="118">
        <v>0.6</v>
      </c>
    </row>
    <row r="325" spans="1:6" x14ac:dyDescent="0.2">
      <c r="A325" s="35" t="s">
        <v>21</v>
      </c>
      <c r="B325" s="9">
        <f>B324+20</f>
        <v>24</v>
      </c>
      <c r="C325" s="7" t="b">
        <f>FALSE</f>
        <v>0</v>
      </c>
      <c r="D325" s="8" t="b">
        <f t="shared" si="13"/>
        <v>0</v>
      </c>
    </row>
    <row r="326" spans="1:6" ht="17" thickBot="1" x14ac:dyDescent="0.25">
      <c r="A326" s="26" t="s">
        <v>22</v>
      </c>
      <c r="B326" s="9">
        <f>B325+20</f>
        <v>44</v>
      </c>
      <c r="C326" s="11">
        <v>437.038500547409</v>
      </c>
      <c r="D326" s="8">
        <f t="shared" si="13"/>
        <v>393.038500547409</v>
      </c>
    </row>
    <row r="327" spans="1:6" x14ac:dyDescent="0.2">
      <c r="A327" s="35" t="s">
        <v>23</v>
      </c>
      <c r="B327" s="9">
        <f>G319+4</f>
        <v>4</v>
      </c>
      <c r="C327" s="7" t="b">
        <f>FALSE</f>
        <v>0</v>
      </c>
      <c r="D327" s="8" t="b">
        <f t="shared" si="13"/>
        <v>0</v>
      </c>
    </row>
    <row r="328" spans="1:6" x14ac:dyDescent="0.2">
      <c r="A328" s="35" t="s">
        <v>24</v>
      </c>
      <c r="B328" s="9">
        <f>B327+20</f>
        <v>24</v>
      </c>
      <c r="C328" s="7">
        <v>525.62623286247197</v>
      </c>
      <c r="D328" s="8">
        <f t="shared" si="13"/>
        <v>501.62623286247197</v>
      </c>
    </row>
    <row r="329" spans="1:6" ht="17" thickBot="1" x14ac:dyDescent="0.25">
      <c r="A329" s="33" t="s">
        <v>25</v>
      </c>
      <c r="B329" s="10">
        <f>B328+20</f>
        <v>44</v>
      </c>
      <c r="C329" s="37" t="b">
        <f>FALSE</f>
        <v>0</v>
      </c>
      <c r="D329" s="8" t="b">
        <f t="shared" si="13"/>
        <v>0</v>
      </c>
    </row>
    <row r="330" spans="1:6" x14ac:dyDescent="0.2">
      <c r="A330" s="128"/>
      <c r="B330" s="128" t="s">
        <v>53</v>
      </c>
      <c r="C330" s="128">
        <v>3</v>
      </c>
      <c r="D330" s="1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6C8BB-983E-5746-8821-9148BD5AD449}">
  <dimension ref="A1:C3"/>
  <sheetViews>
    <sheetView workbookViewId="0">
      <selection sqref="A1:C3"/>
    </sheetView>
  </sheetViews>
  <sheetFormatPr baseColWidth="10" defaultRowHeight="16" x14ac:dyDescent="0.2"/>
  <cols>
    <col min="1" max="1" width="30.83203125" customWidth="1"/>
    <col min="2" max="2" width="34.6640625" customWidth="1"/>
  </cols>
  <sheetData>
    <row r="1" spans="1:3" x14ac:dyDescent="0.2">
      <c r="A1">
        <v>4</v>
      </c>
      <c r="B1" t="s">
        <v>66</v>
      </c>
      <c r="C1">
        <v>1</v>
      </c>
    </row>
    <row r="2" spans="1:3" x14ac:dyDescent="0.2">
      <c r="A2">
        <v>24</v>
      </c>
      <c r="B2" t="s">
        <v>67</v>
      </c>
      <c r="C2">
        <v>1</v>
      </c>
    </row>
    <row r="3" spans="1:3" x14ac:dyDescent="0.2">
      <c r="A3">
        <v>44</v>
      </c>
      <c r="B3" t="s">
        <v>68</v>
      </c>
      <c r="C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brut-analyse</vt:lpstr>
      <vt:lpstr>brut</vt:lpstr>
      <vt:lpstr>Sub_11_run_5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2023-07-04T19:47:27Z</dcterms:created>
  <dcterms:modified xsi:type="dcterms:W3CDTF">2025-11-04T22:43:37Z</dcterms:modified>
</cp:coreProperties>
</file>